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Dashboard" sheetId="1" state="visible" r:id="rId1"/>
    <sheet name="Assumptions" sheetId="2" state="visible" r:id="rId2"/>
    <sheet name="Conservative" sheetId="3" state="visible" r:id="rId3"/>
    <sheet name="Base" sheetId="4" state="visible" r:id="rId4"/>
    <sheet name="Aggressive" sheetId="5" state="visible" r:id="rId5"/>
    <sheet name="Opportunity Scoring" sheetId="6" state="visible" r:id="rId6"/>
    <sheet name="CRM Pipeline" sheetId="7" state="visible" r:id="rId7"/>
    <sheet name="Lists" sheetId="8" state="visible" r:id="rId8"/>
    <sheet name="90-Day Track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7F7F7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9" fontId="0" fillId="3" borderId="0" pivotButton="0" quotePrefix="0" xfId="0"/>
    <xf numFmtId="3" fontId="0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6" customWidth="1" min="3" max="3"/>
    <col width="14" customWidth="1" min="4" max="4"/>
    <col width="10" customWidth="1" min="5" max="5"/>
  </cols>
  <sheetData>
    <row r="1">
      <c r="A1" s="1" t="inlineStr">
        <is>
          <t>KPI</t>
        </is>
      </c>
      <c r="B1" s="1" t="inlineStr">
        <is>
          <t>Formula / source</t>
        </is>
      </c>
      <c r="C1" s="1" t="inlineStr">
        <is>
          <t>Target (Day 90)</t>
        </is>
      </c>
      <c r="D1" s="1" t="inlineStr">
        <is>
          <t>Actual</t>
        </is>
      </c>
      <c r="E1" s="1" t="inlineStr">
        <is>
          <t>RAG</t>
        </is>
      </c>
    </row>
    <row r="2">
      <c r="A2" t="inlineStr">
        <is>
          <t>Prospects in CRM</t>
        </is>
      </c>
      <c r="B2" t="inlineStr">
        <is>
          <t>COUNTA('CRM Pipeline'!B2:B1000)</t>
        </is>
      </c>
      <c r="C2" t="n">
        <v>400</v>
      </c>
      <c r="D2">
        <f>COUNTA('CRM Pipeline'!B2:B1000)</f>
        <v/>
      </c>
      <c r="E2">
        <f>IF(D2&gt;=C2,"G",IF(D2&gt;=0.7*C2,"A","R"))</f>
        <v/>
      </c>
    </row>
    <row r="3">
      <c r="A3" t="inlineStr">
        <is>
          <t>Contacted</t>
        </is>
      </c>
      <c r="B3" t="inlineStr">
        <is>
          <t>COUNTA('CRM Pipeline'!M2:M1000)-COUNTIF('CRM Pipeline'!M2:M1000,"1*")</t>
        </is>
      </c>
      <c r="C3" t="n">
        <v>300</v>
      </c>
      <c r="D3">
        <f>COUNTA('CRM Pipeline'!M2:M1000)-COUNTIF('CRM Pipeline'!M2:M1000,"1*")</f>
        <v/>
      </c>
      <c r="E3">
        <f>IF(D3&gt;=C3,"G",IF(D3&gt;=0.7*C3,"A","R"))</f>
        <v/>
      </c>
    </row>
    <row r="4">
      <c r="A4" t="inlineStr">
        <is>
          <t>Reply rate %</t>
        </is>
      </c>
      <c r="B4" t="inlineStr">
        <is>
          <t>IFERROR((COUNTIF('CRM Pipeline'!M2:M1000,"3*")+COUNTIF('CRM Pipeline'!M2:M1000,"4*")+COUNTIF('CRM Pipeline'!M2:M1000,"5*")+COUNTIF('CRM Pipeline'!M2:M1000,"6*"))/(COUNTA('CRM Pipeline'!M2:M1000)-COUNTIF('CRM Pipeline'!M2:M1000,"1*")),0)</t>
        </is>
      </c>
      <c r="C4" s="2" t="n">
        <v>0.08</v>
      </c>
      <c r="D4" s="2">
        <f>IFERROR((COUNTIF('CRM Pipeline'!M2:M1000,"3*")+COUNTIF('CRM Pipeline'!M2:M1000,"4*")+COUNTIF('CRM Pipeline'!M2:M1000,"5*")+COUNTIF('CRM Pipeline'!M2:M1000,"6*"))/(COUNTA('CRM Pipeline'!M2:M1000)-COUNTIF('CRM Pipeline'!M2:M1000,"1*")),0)</f>
        <v/>
      </c>
      <c r="E4">
        <f>IF(D4&gt;=C4,"G",IF(D4&gt;=0.7*C4,"A","R"))</f>
        <v/>
      </c>
    </row>
    <row r="5">
      <c r="A5" t="inlineStr">
        <is>
          <t>Discovery calls booked</t>
        </is>
      </c>
      <c r="B5" t="inlineStr">
        <is>
          <t>COUNTIF('CRM Pipeline'!M2:M1000,"4*")+COUNTIF('CRM Pipeline'!M2:M1000,"5*")+COUNTIF('CRM Pipeline'!M2:M1000,"6*")</t>
        </is>
      </c>
      <c r="C5" t="n">
        <v>12</v>
      </c>
      <c r="D5">
        <f>COUNTIF('CRM Pipeline'!M2:M1000,"4*")+COUNTIF('CRM Pipeline'!M2:M1000,"5*")+COUNTIF('CRM Pipeline'!M2:M1000,"6*")</f>
        <v/>
      </c>
      <c r="E5">
        <f>IF(D5&gt;=C5,"G",IF(D5&gt;=0.7*C5,"A","R"))</f>
        <v/>
      </c>
    </row>
    <row r="6">
      <c r="A6" t="inlineStr">
        <is>
          <t>Deals won</t>
        </is>
      </c>
      <c r="B6" t="inlineStr">
        <is>
          <t>COUNTIF('CRM Pipeline'!M2:M1000,"6*")</t>
        </is>
      </c>
      <c r="C6" t="n">
        <v>4</v>
      </c>
      <c r="D6">
        <f>COUNTIF('CRM Pipeline'!M2:M1000,"6*")</f>
        <v/>
      </c>
      <c r="E6">
        <f>IF(D6&gt;=C6,"G",IF(D6&gt;=0.7*C6,"A","R"))</f>
        <v/>
      </c>
    </row>
    <row r="7">
      <c r="A7" t="inlineStr">
        <is>
          <t>Weighted pipeline USD</t>
        </is>
      </c>
      <c r="B7" t="inlineStr">
        <is>
          <t>SUM('CRM Pipeline'!U2:U1000)</t>
        </is>
      </c>
      <c r="C7" t="n">
        <v>6000</v>
      </c>
      <c r="D7">
        <f>SUM('CRM Pipeline'!U2:U1000)</f>
        <v/>
      </c>
      <c r="E7">
        <f>IF(D7&gt;=C7,"G",IF(D7&gt;=0.7*C7,"A","R"))</f>
        <v/>
      </c>
    </row>
    <row r="8">
      <c r="A8" t="inlineStr">
        <is>
          <t>Revenue to date USD (tracker)</t>
        </is>
      </c>
      <c r="B8" t="inlineStr">
        <is>
          <t>'90-Day Tracker'!J15</t>
        </is>
      </c>
      <c r="C8" t="n">
        <v>3000</v>
      </c>
      <c r="D8">
        <f>'90-Day Tracker'!J15</f>
        <v/>
      </c>
      <c r="E8">
        <f>IF(D8&gt;=C8,"G",IF(D8&gt;=0.7*C8,"A","R"))</f>
        <v/>
      </c>
    </row>
    <row r="9">
      <c r="A9" t="inlineStr">
        <is>
          <t>Effective hourly rate USD</t>
        </is>
      </c>
      <c r="B9" t="inlineStr">
        <is>
          <t>IFERROR('90-Day Tracker'!J15/'90-Day Tracker'!K15,0)</t>
        </is>
      </c>
      <c r="C9" t="n">
        <v>25</v>
      </c>
      <c r="D9">
        <f>IFERROR('90-Day Tracker'!J15/'90-Day Tracker'!K15,0)</f>
        <v/>
      </c>
      <c r="E9">
        <f>IF(D9&gt;=C9,"G",IF(D9&gt;=0.7*C9,"A","R"))</f>
        <v/>
      </c>
    </row>
    <row r="10">
      <c r="A10" t="inlineStr">
        <is>
          <t>Base-case cumulative profit M3 PKR</t>
        </is>
      </c>
      <c r="B10" t="inlineStr">
        <is>
          <t>Base!Q4</t>
        </is>
      </c>
      <c r="C10" t="n">
        <v>0</v>
      </c>
      <c r="D10">
        <f>Base!Q4</f>
        <v/>
      </c>
      <c r="E10">
        <f>IF(D10&gt;=C10,"G",IF(D10&gt;=0.7*C10,"A","R"))</f>
        <v/>
      </c>
    </row>
    <row r="12">
      <c r="A12" s="3" t="inlineStr">
        <is>
          <t>Yellow cells on every sheet are inputs. Stage codes start with a digit (1-8); KPIs count stages with wildcard COUNTIF, e.g. "3*".</t>
        </is>
      </c>
    </row>
  </sheetData>
  <conditionalFormatting sqref="E2:E20">
    <cfRule type="cellIs" priority="1" operator="equal" dxfId="0">
      <formula>"G"</formula>
    </cfRule>
    <cfRule type="cellIs" priority="2" operator="equal" dxfId="1">
      <formula>"A"</formula>
    </cfRule>
    <cfRule type="cellIs" priority="3" operator="equal" dxfId="2">
      <formula>"R"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70" customWidth="1" min="3" max="3"/>
  </cols>
  <sheetData>
    <row r="1">
      <c r="A1" s="1" t="inlineStr">
        <is>
          <t>Driver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FX PKR per USD</t>
        </is>
      </c>
      <c r="B2" s="4" t="n">
        <v>280</v>
      </c>
      <c r="C2" t="inlineStr">
        <is>
          <t>ASSUMPTION - update monthly from SBP interbank</t>
        </is>
      </c>
    </row>
    <row r="3">
      <c r="A3" t="inlineStr">
        <is>
          <t>Upwork fee %</t>
        </is>
      </c>
      <c r="B3" s="5" t="n">
        <v>0.1</v>
      </c>
      <c r="C3" t="inlineStr">
        <is>
          <t>ASSUMPTION - Upwork variable fee; check your contract</t>
        </is>
      </c>
    </row>
    <row r="4">
      <c r="A4" t="inlineStr">
        <is>
          <t>Payment / FX cost %</t>
        </is>
      </c>
      <c r="B4" s="5" t="n">
        <v>0.02</v>
      </c>
      <c r="C4" t="inlineStr">
        <is>
          <t>Payoneer withdrawal + spread, ASSUMPTION</t>
        </is>
      </c>
    </row>
    <row r="5">
      <c r="A5" t="inlineStr">
        <is>
          <t>One-off setup PKR (Month 1)</t>
        </is>
      </c>
      <c r="B5" s="4" t="n">
        <v>60000</v>
      </c>
      <c r="C5" t="inlineStr">
        <is>
          <t>Domain, site, NTN/PSEB, demo data, design</t>
        </is>
      </c>
    </row>
    <row r="6">
      <c r="A6" t="inlineStr">
        <is>
          <t>Starting capital PKR</t>
        </is>
      </c>
      <c r="B6" s="4" t="n">
        <v>500000</v>
      </c>
      <c r="C6" t="inlineStr">
        <is>
          <t>Hard ceiling - do not exceed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Month</t>
        </is>
      </c>
      <c r="B1" s="1" t="inlineStr">
        <is>
          <t>Projects</t>
        </is>
      </c>
      <c r="C1" s="1" t="inlineStr">
        <is>
          <t>Avg project USD</t>
        </is>
      </c>
      <c r="D1" s="1" t="inlineStr">
        <is>
          <t>Retainers</t>
        </is>
      </c>
      <c r="E1" s="1" t="inlineStr">
        <is>
          <t>Avg retainer USD</t>
        </is>
      </c>
      <c r="F1" s="1" t="inlineStr">
        <is>
          <t>Upwork share</t>
        </is>
      </c>
      <c r="G1" s="1" t="inlineStr">
        <is>
          <t>Contractor PKR</t>
        </is>
      </c>
      <c r="H1" s="1" t="inlineStr">
        <is>
          <t>Software USD</t>
        </is>
      </c>
      <c r="I1" s="1" t="inlineStr">
        <is>
          <t>Marketing USD</t>
        </is>
      </c>
      <c r="J1" s="1" t="inlineStr">
        <is>
          <t>Paying customers</t>
        </is>
      </c>
      <c r="K1" s="1" t="inlineStr">
        <is>
          <t>Revenue PKR</t>
        </is>
      </c>
      <c r="L1" s="1" t="inlineStr">
        <is>
          <t>Avg rev/customer PKR</t>
        </is>
      </c>
      <c r="M1" s="1" t="inlineStr">
        <is>
          <t>Direct costs PKR</t>
        </is>
      </c>
      <c r="N1" s="1" t="inlineStr">
        <is>
          <t>Software/ops PKR</t>
        </is>
      </c>
      <c r="O1" s="1" t="inlineStr">
        <is>
          <t>Marketing PKR</t>
        </is>
      </c>
      <c r="P1" s="1" t="inlineStr">
        <is>
          <t>Net profit PKR</t>
        </is>
      </c>
      <c r="Q1" s="1" t="inlineStr">
        <is>
          <t>Cumulative profit PKR</t>
        </is>
      </c>
      <c r="R1" s="1" t="inlineStr">
        <is>
          <t>Cumulative investment PKR</t>
        </is>
      </c>
    </row>
    <row r="2">
      <c r="A2" t="n">
        <v>1</v>
      </c>
      <c r="B2" s="4" t="n">
        <v>0</v>
      </c>
      <c r="C2" s="4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80</v>
      </c>
      <c r="I2" s="4" t="n">
        <v>40</v>
      </c>
      <c r="J2" s="6">
        <f>B2+D2</f>
        <v/>
      </c>
      <c r="K2" s="6">
        <f>(B2*C2+D2*E2)*Assumptions!$B$2</f>
        <v/>
      </c>
      <c r="L2" s="6">
        <f>IFERROR(K2/J2,0)</f>
        <v/>
      </c>
      <c r="M2" s="6">
        <f>K2*(Assumptions!$B$3*F2+Assumptions!$B$4)+G2</f>
        <v/>
      </c>
      <c r="N2" s="6">
        <f>H2*Assumptions!$B$2+IF(A2=1,Assumptions!$B$5,0)</f>
        <v/>
      </c>
      <c r="O2" s="6">
        <f>I2*Assumptions!$B$2</f>
        <v/>
      </c>
      <c r="P2" s="6">
        <f>K2-M2-N2-O2</f>
        <v/>
      </c>
      <c r="Q2" s="6">
        <f>P2</f>
        <v/>
      </c>
      <c r="R2" s="6">
        <f>MAX(0,-Q2)</f>
        <v/>
      </c>
    </row>
    <row r="3">
      <c r="A3" t="n">
        <v>2</v>
      </c>
      <c r="B3" s="4" t="n">
        <v>0</v>
      </c>
      <c r="C3" s="4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100</v>
      </c>
      <c r="I3" s="4" t="n">
        <v>60</v>
      </c>
      <c r="J3" s="6">
        <f>B3+D3</f>
        <v/>
      </c>
      <c r="K3" s="6">
        <f>(B3*C3+D3*E3)*Assumptions!$B$2</f>
        <v/>
      </c>
      <c r="L3" s="6">
        <f>IFERROR(K3/J3,0)</f>
        <v/>
      </c>
      <c r="M3" s="6">
        <f>K3*(Assumptions!$B$3*F3+Assumptions!$B$4)+G3</f>
        <v/>
      </c>
      <c r="N3" s="6">
        <f>H3*Assumptions!$B$2+IF(A3=1,Assumptions!$B$5,0)</f>
        <v/>
      </c>
      <c r="O3" s="6">
        <f>I3*Assumptions!$B$2</f>
        <v/>
      </c>
      <c r="P3" s="6">
        <f>K3-M3-N3-O3</f>
        <v/>
      </c>
      <c r="Q3" s="6">
        <f>Q2+P3</f>
        <v/>
      </c>
      <c r="R3" s="6">
        <f>MAX(R2,-Q3)</f>
        <v/>
      </c>
    </row>
    <row r="4">
      <c r="A4" t="n">
        <v>3</v>
      </c>
      <c r="B4" s="4" t="n">
        <v>1</v>
      </c>
      <c r="C4" s="4" t="n">
        <v>350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100</v>
      </c>
      <c r="I4" s="4" t="n">
        <v>60</v>
      </c>
      <c r="J4" s="6">
        <f>B4+D4</f>
        <v/>
      </c>
      <c r="K4" s="6">
        <f>(B4*C4+D4*E4)*Assumptions!$B$2</f>
        <v/>
      </c>
      <c r="L4" s="6">
        <f>IFERROR(K4/J4,0)</f>
        <v/>
      </c>
      <c r="M4" s="6">
        <f>K4*(Assumptions!$B$3*F4+Assumptions!$B$4)+G4</f>
        <v/>
      </c>
      <c r="N4" s="6">
        <f>H4*Assumptions!$B$2+IF(A4=1,Assumptions!$B$5,0)</f>
        <v/>
      </c>
      <c r="O4" s="6">
        <f>I4*Assumptions!$B$2</f>
        <v/>
      </c>
      <c r="P4" s="6">
        <f>K4-M4-N4-O4</f>
        <v/>
      </c>
      <c r="Q4" s="6">
        <f>Q3+P4</f>
        <v/>
      </c>
      <c r="R4" s="6">
        <f>MAX(R3,-Q4)</f>
        <v/>
      </c>
    </row>
    <row r="5">
      <c r="A5" t="n">
        <v>4</v>
      </c>
      <c r="B5" s="4" t="n">
        <v>1</v>
      </c>
      <c r="C5" s="4" t="n">
        <v>450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100</v>
      </c>
      <c r="I5" s="4" t="n">
        <v>60</v>
      </c>
      <c r="J5" s="6">
        <f>B5+D5</f>
        <v/>
      </c>
      <c r="K5" s="6">
        <f>(B5*C5+D5*E5)*Assumptions!$B$2</f>
        <v/>
      </c>
      <c r="L5" s="6">
        <f>IFERROR(K5/J5,0)</f>
        <v/>
      </c>
      <c r="M5" s="6">
        <f>K5*(Assumptions!$B$3*F5+Assumptions!$B$4)+G5</f>
        <v/>
      </c>
      <c r="N5" s="6">
        <f>H5*Assumptions!$B$2+IF(A5=1,Assumptions!$B$5,0)</f>
        <v/>
      </c>
      <c r="O5" s="6">
        <f>I5*Assumptions!$B$2</f>
        <v/>
      </c>
      <c r="P5" s="6">
        <f>K5-M5-N5-O5</f>
        <v/>
      </c>
      <c r="Q5" s="6">
        <f>Q4+P5</f>
        <v/>
      </c>
      <c r="R5" s="6">
        <f>MAX(R4,-Q5)</f>
        <v/>
      </c>
    </row>
    <row r="6">
      <c r="A6" t="n">
        <v>5</v>
      </c>
      <c r="B6" s="4" t="n">
        <v>1</v>
      </c>
      <c r="C6" s="4" t="n">
        <v>500</v>
      </c>
      <c r="D6" s="4" t="n">
        <v>1</v>
      </c>
      <c r="E6" s="4" t="n">
        <v>400</v>
      </c>
      <c r="F6" s="5" t="n">
        <v>0.9</v>
      </c>
      <c r="G6" s="4" t="n">
        <v>0</v>
      </c>
      <c r="H6" s="4" t="n">
        <v>100</v>
      </c>
      <c r="I6" s="4" t="n">
        <v>60</v>
      </c>
      <c r="J6" s="6">
        <f>B6+D6</f>
        <v/>
      </c>
      <c r="K6" s="6">
        <f>(B6*C6+D6*E6)*Assumptions!$B$2</f>
        <v/>
      </c>
      <c r="L6" s="6">
        <f>IFERROR(K6/J6,0)</f>
        <v/>
      </c>
      <c r="M6" s="6">
        <f>K6*(Assumptions!$B$3*F6+Assumptions!$B$4)+G6</f>
        <v/>
      </c>
      <c r="N6" s="6">
        <f>H6*Assumptions!$B$2+IF(A6=1,Assumptions!$B$5,0)</f>
        <v/>
      </c>
      <c r="O6" s="6">
        <f>I6*Assumptions!$B$2</f>
        <v/>
      </c>
      <c r="P6" s="6">
        <f>K6-M6-N6-O6</f>
        <v/>
      </c>
      <c r="Q6" s="6">
        <f>Q5+P6</f>
        <v/>
      </c>
      <c r="R6" s="6">
        <f>MAX(R5,-Q6)</f>
        <v/>
      </c>
    </row>
    <row r="7">
      <c r="A7" t="n">
        <v>6</v>
      </c>
      <c r="B7" s="4" t="n">
        <v>1</v>
      </c>
      <c r="C7" s="4" t="n">
        <v>550</v>
      </c>
      <c r="D7" s="4" t="n">
        <v>1</v>
      </c>
      <c r="E7" s="4" t="n">
        <v>400</v>
      </c>
      <c r="F7" s="5" t="n">
        <v>0.9</v>
      </c>
      <c r="G7" s="4" t="n">
        <v>0</v>
      </c>
      <c r="H7" s="4" t="n">
        <v>100</v>
      </c>
      <c r="I7" s="4" t="n">
        <v>60</v>
      </c>
      <c r="J7" s="6">
        <f>B7+D7</f>
        <v/>
      </c>
      <c r="K7" s="6">
        <f>(B7*C7+D7*E7)*Assumptions!$B$2</f>
        <v/>
      </c>
      <c r="L7" s="6">
        <f>IFERROR(K7/J7,0)</f>
        <v/>
      </c>
      <c r="M7" s="6">
        <f>K7*(Assumptions!$B$3*F7+Assumptions!$B$4)+G7</f>
        <v/>
      </c>
      <c r="N7" s="6">
        <f>H7*Assumptions!$B$2+IF(A7=1,Assumptions!$B$5,0)</f>
        <v/>
      </c>
      <c r="O7" s="6">
        <f>I7*Assumptions!$B$2</f>
        <v/>
      </c>
      <c r="P7" s="6">
        <f>K7-M7-N7-O7</f>
        <v/>
      </c>
      <c r="Q7" s="6">
        <f>Q6+P7</f>
        <v/>
      </c>
      <c r="R7" s="6">
        <f>MAX(R6,-Q7)</f>
        <v/>
      </c>
    </row>
    <row r="8">
      <c r="A8" t="n">
        <v>7</v>
      </c>
      <c r="B8" s="4" t="n">
        <v>1</v>
      </c>
      <c r="C8" s="4" t="n">
        <v>600</v>
      </c>
      <c r="D8" s="4" t="n">
        <v>1</v>
      </c>
      <c r="E8" s="4" t="n">
        <v>400</v>
      </c>
      <c r="F8" s="5" t="n">
        <v>0.8</v>
      </c>
      <c r="G8" s="4" t="n">
        <v>0</v>
      </c>
      <c r="H8" s="4" t="n">
        <v>100</v>
      </c>
      <c r="I8" s="4" t="n">
        <v>60</v>
      </c>
      <c r="J8" s="6">
        <f>B8+D8</f>
        <v/>
      </c>
      <c r="K8" s="6">
        <f>(B8*C8+D8*E8)*Assumptions!$B$2</f>
        <v/>
      </c>
      <c r="L8" s="6">
        <f>IFERROR(K8/J8,0)</f>
        <v/>
      </c>
      <c r="M8" s="6">
        <f>K8*(Assumptions!$B$3*F8+Assumptions!$B$4)+G8</f>
        <v/>
      </c>
      <c r="N8" s="6">
        <f>H8*Assumptions!$B$2+IF(A8=1,Assumptions!$B$5,0)</f>
        <v/>
      </c>
      <c r="O8" s="6">
        <f>I8*Assumptions!$B$2</f>
        <v/>
      </c>
      <c r="P8" s="6">
        <f>K8-M8-N8-O8</f>
        <v/>
      </c>
      <c r="Q8" s="6">
        <f>Q7+P8</f>
        <v/>
      </c>
      <c r="R8" s="6">
        <f>MAX(R7,-Q8)</f>
        <v/>
      </c>
    </row>
    <row r="9">
      <c r="A9" t="n">
        <v>8</v>
      </c>
      <c r="B9" s="4" t="n">
        <v>1</v>
      </c>
      <c r="C9" s="4" t="n">
        <v>600</v>
      </c>
      <c r="D9" s="4" t="n">
        <v>1</v>
      </c>
      <c r="E9" s="4" t="n">
        <v>400</v>
      </c>
      <c r="F9" s="5" t="n">
        <v>0.8</v>
      </c>
      <c r="G9" s="4" t="n">
        <v>0</v>
      </c>
      <c r="H9" s="4" t="n">
        <v>100</v>
      </c>
      <c r="I9" s="4" t="n">
        <v>60</v>
      </c>
      <c r="J9" s="6">
        <f>B9+D9</f>
        <v/>
      </c>
      <c r="K9" s="6">
        <f>(B9*C9+D9*E9)*Assumptions!$B$2</f>
        <v/>
      </c>
      <c r="L9" s="6">
        <f>IFERROR(K9/J9,0)</f>
        <v/>
      </c>
      <c r="M9" s="6">
        <f>K9*(Assumptions!$B$3*F9+Assumptions!$B$4)+G9</f>
        <v/>
      </c>
      <c r="N9" s="6">
        <f>H9*Assumptions!$B$2+IF(A9=1,Assumptions!$B$5,0)</f>
        <v/>
      </c>
      <c r="O9" s="6">
        <f>I9*Assumptions!$B$2</f>
        <v/>
      </c>
      <c r="P9" s="6">
        <f>K9-M9-N9-O9</f>
        <v/>
      </c>
      <c r="Q9" s="6">
        <f>Q8+P9</f>
        <v/>
      </c>
      <c r="R9" s="6">
        <f>MAX(R8,-Q9)</f>
        <v/>
      </c>
    </row>
    <row r="10">
      <c r="A10" t="n">
        <v>9</v>
      </c>
      <c r="B10" s="4" t="n">
        <v>1</v>
      </c>
      <c r="C10" s="4" t="n">
        <v>650</v>
      </c>
      <c r="D10" s="4" t="n">
        <v>2</v>
      </c>
      <c r="E10" s="4" t="n">
        <v>425</v>
      </c>
      <c r="F10" s="5" t="n">
        <v>0.7</v>
      </c>
      <c r="G10" s="4" t="n">
        <v>0</v>
      </c>
      <c r="H10" s="4" t="n">
        <v>100</v>
      </c>
      <c r="I10" s="4" t="n">
        <v>60</v>
      </c>
      <c r="J10" s="6">
        <f>B10+D10</f>
        <v/>
      </c>
      <c r="K10" s="6">
        <f>(B10*C10+D10*E10)*Assumptions!$B$2</f>
        <v/>
      </c>
      <c r="L10" s="6">
        <f>IFERROR(K10/J10,0)</f>
        <v/>
      </c>
      <c r="M10" s="6">
        <f>K10*(Assumptions!$B$3*F10+Assumptions!$B$4)+G10</f>
        <v/>
      </c>
      <c r="N10" s="6">
        <f>H10*Assumptions!$B$2+IF(A10=1,Assumptions!$B$5,0)</f>
        <v/>
      </c>
      <c r="O10" s="6">
        <f>I10*Assumptions!$B$2</f>
        <v/>
      </c>
      <c r="P10" s="6">
        <f>K10-M10-N10-O10</f>
        <v/>
      </c>
      <c r="Q10" s="6">
        <f>Q9+P10</f>
        <v/>
      </c>
      <c r="R10" s="6">
        <f>MAX(R9,-Q10)</f>
        <v/>
      </c>
    </row>
    <row r="11">
      <c r="A11" t="n">
        <v>10</v>
      </c>
      <c r="B11" s="4" t="n">
        <v>1</v>
      </c>
      <c r="C11" s="4" t="n">
        <v>650</v>
      </c>
      <c r="D11" s="4" t="n">
        <v>2</v>
      </c>
      <c r="E11" s="4" t="n">
        <v>425</v>
      </c>
      <c r="F11" s="5" t="n">
        <v>0.7</v>
      </c>
      <c r="G11" s="4" t="n">
        <v>0</v>
      </c>
      <c r="H11" s="4" t="n">
        <v>100</v>
      </c>
      <c r="I11" s="4" t="n">
        <v>60</v>
      </c>
      <c r="J11" s="6">
        <f>B11+D11</f>
        <v/>
      </c>
      <c r="K11" s="6">
        <f>(B11*C11+D11*E11)*Assumptions!$B$2</f>
        <v/>
      </c>
      <c r="L11" s="6">
        <f>IFERROR(K11/J11,0)</f>
        <v/>
      </c>
      <c r="M11" s="6">
        <f>K11*(Assumptions!$B$3*F11+Assumptions!$B$4)+G11</f>
        <v/>
      </c>
      <c r="N11" s="6">
        <f>H11*Assumptions!$B$2+IF(A11=1,Assumptions!$B$5,0)</f>
        <v/>
      </c>
      <c r="O11" s="6">
        <f>I11*Assumptions!$B$2</f>
        <v/>
      </c>
      <c r="P11" s="6">
        <f>K11-M11-N11-O11</f>
        <v/>
      </c>
      <c r="Q11" s="6">
        <f>Q10+P11</f>
        <v/>
      </c>
      <c r="R11" s="6">
        <f>MAX(R10,-Q11)</f>
        <v/>
      </c>
    </row>
    <row r="12">
      <c r="A12" t="n">
        <v>11</v>
      </c>
      <c r="B12" s="4" t="n">
        <v>1</v>
      </c>
      <c r="C12" s="4" t="n">
        <v>700</v>
      </c>
      <c r="D12" s="4" t="n">
        <v>2</v>
      </c>
      <c r="E12" s="4" t="n">
        <v>450</v>
      </c>
      <c r="F12" s="5" t="n">
        <v>0.7</v>
      </c>
      <c r="G12" s="4" t="n">
        <v>0</v>
      </c>
      <c r="H12" s="4" t="n">
        <v>100</v>
      </c>
      <c r="I12" s="4" t="n">
        <v>60</v>
      </c>
      <c r="J12" s="6">
        <f>B12+D12</f>
        <v/>
      </c>
      <c r="K12" s="6">
        <f>(B12*C12+D12*E12)*Assumptions!$B$2</f>
        <v/>
      </c>
      <c r="L12" s="6">
        <f>IFERROR(K12/J12,0)</f>
        <v/>
      </c>
      <c r="M12" s="6">
        <f>K12*(Assumptions!$B$3*F12+Assumptions!$B$4)+G12</f>
        <v/>
      </c>
      <c r="N12" s="6">
        <f>H12*Assumptions!$B$2+IF(A12=1,Assumptions!$B$5,0)</f>
        <v/>
      </c>
      <c r="O12" s="6">
        <f>I12*Assumptions!$B$2</f>
        <v/>
      </c>
      <c r="P12" s="6">
        <f>K12-M12-N12-O12</f>
        <v/>
      </c>
      <c r="Q12" s="6">
        <f>Q11+P12</f>
        <v/>
      </c>
      <c r="R12" s="6">
        <f>MAX(R11,-Q12)</f>
        <v/>
      </c>
    </row>
    <row r="13">
      <c r="A13" t="n">
        <v>12</v>
      </c>
      <c r="B13" s="4" t="n">
        <v>1</v>
      </c>
      <c r="C13" s="4" t="n">
        <v>700</v>
      </c>
      <c r="D13" s="4" t="n">
        <v>2</v>
      </c>
      <c r="E13" s="4" t="n">
        <v>450</v>
      </c>
      <c r="F13" s="5" t="n">
        <v>0.7</v>
      </c>
      <c r="G13" s="4" t="n">
        <v>0</v>
      </c>
      <c r="H13" s="4" t="n">
        <v>100</v>
      </c>
      <c r="I13" s="4" t="n">
        <v>60</v>
      </c>
      <c r="J13" s="6">
        <f>B13+D13</f>
        <v/>
      </c>
      <c r="K13" s="6">
        <f>(B13*C13+D13*E13)*Assumptions!$B$2</f>
        <v/>
      </c>
      <c r="L13" s="6">
        <f>IFERROR(K13/J13,0)</f>
        <v/>
      </c>
      <c r="M13" s="6">
        <f>K13*(Assumptions!$B$3*F13+Assumptions!$B$4)+G13</f>
        <v/>
      </c>
      <c r="N13" s="6">
        <f>H13*Assumptions!$B$2+IF(A13=1,Assumptions!$B$5,0)</f>
        <v/>
      </c>
      <c r="O13" s="6">
        <f>I13*Assumptions!$B$2</f>
        <v/>
      </c>
      <c r="P13" s="6">
        <f>K13-M13-N13-O13</f>
        <v/>
      </c>
      <c r="Q13" s="6">
        <f>Q12+P13</f>
        <v/>
      </c>
      <c r="R13" s="6">
        <f>MAX(R12,-Q13)</f>
        <v/>
      </c>
    </row>
    <row r="15">
      <c r="A15" s="7" t="inlineStr">
        <is>
          <t>Total</t>
        </is>
      </c>
      <c r="K15" s="6">
        <f>SUM(K2:K13)</f>
        <v/>
      </c>
      <c r="M15" s="6">
        <f>SUM(M2:M13)</f>
        <v/>
      </c>
      <c r="N15" s="6">
        <f>SUM(N2:N13)</f>
        <v/>
      </c>
      <c r="O15" s="6">
        <f>SUM(O2:O13)</f>
        <v/>
      </c>
      <c r="P15" s="6">
        <f>SUM(P2:P13)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Month</t>
        </is>
      </c>
      <c r="B1" s="1" t="inlineStr">
        <is>
          <t>Projects</t>
        </is>
      </c>
      <c r="C1" s="1" t="inlineStr">
        <is>
          <t>Avg project USD</t>
        </is>
      </c>
      <c r="D1" s="1" t="inlineStr">
        <is>
          <t>Retainers</t>
        </is>
      </c>
      <c r="E1" s="1" t="inlineStr">
        <is>
          <t>Avg retainer USD</t>
        </is>
      </c>
      <c r="F1" s="1" t="inlineStr">
        <is>
          <t>Upwork share</t>
        </is>
      </c>
      <c r="G1" s="1" t="inlineStr">
        <is>
          <t>Contractor PKR</t>
        </is>
      </c>
      <c r="H1" s="1" t="inlineStr">
        <is>
          <t>Software USD</t>
        </is>
      </c>
      <c r="I1" s="1" t="inlineStr">
        <is>
          <t>Marketing USD</t>
        </is>
      </c>
      <c r="J1" s="1" t="inlineStr">
        <is>
          <t>Paying customers</t>
        </is>
      </c>
      <c r="K1" s="1" t="inlineStr">
        <is>
          <t>Revenue PKR</t>
        </is>
      </c>
      <c r="L1" s="1" t="inlineStr">
        <is>
          <t>Avg rev/customer PKR</t>
        </is>
      </c>
      <c r="M1" s="1" t="inlineStr">
        <is>
          <t>Direct costs PKR</t>
        </is>
      </c>
      <c r="N1" s="1" t="inlineStr">
        <is>
          <t>Software/ops PKR</t>
        </is>
      </c>
      <c r="O1" s="1" t="inlineStr">
        <is>
          <t>Marketing PKR</t>
        </is>
      </c>
      <c r="P1" s="1" t="inlineStr">
        <is>
          <t>Net profit PKR</t>
        </is>
      </c>
      <c r="Q1" s="1" t="inlineStr">
        <is>
          <t>Cumulative profit PKR</t>
        </is>
      </c>
      <c r="R1" s="1" t="inlineStr">
        <is>
          <t>Cumulative investment PKR</t>
        </is>
      </c>
    </row>
    <row r="2">
      <c r="A2" t="n">
        <v>1</v>
      </c>
      <c r="B2" s="4" t="n">
        <v>0</v>
      </c>
      <c r="C2" s="4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90</v>
      </c>
      <c r="I2" s="4" t="n">
        <v>60</v>
      </c>
      <c r="J2" s="6">
        <f>B2+D2</f>
        <v/>
      </c>
      <c r="K2" s="6">
        <f>(B2*C2+D2*E2)*Assumptions!$B$2</f>
        <v/>
      </c>
      <c r="L2" s="6">
        <f>IFERROR(K2/J2,0)</f>
        <v/>
      </c>
      <c r="M2" s="6">
        <f>K2*(Assumptions!$B$3*F2+Assumptions!$B$4)+G2</f>
        <v/>
      </c>
      <c r="N2" s="6">
        <f>H2*Assumptions!$B$2+IF(A2=1,Assumptions!$B$5,0)</f>
        <v/>
      </c>
      <c r="O2" s="6">
        <f>I2*Assumptions!$B$2</f>
        <v/>
      </c>
      <c r="P2" s="6">
        <f>K2-M2-N2-O2</f>
        <v/>
      </c>
      <c r="Q2" s="6">
        <f>P2</f>
        <v/>
      </c>
      <c r="R2" s="6">
        <f>MAX(0,-Q2)</f>
        <v/>
      </c>
    </row>
    <row r="3">
      <c r="A3" t="n">
        <v>2</v>
      </c>
      <c r="B3" s="4" t="n">
        <v>1</v>
      </c>
      <c r="C3" s="4" t="n">
        <v>400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140</v>
      </c>
      <c r="I3" s="4" t="n">
        <v>160</v>
      </c>
      <c r="J3" s="6">
        <f>B3+D3</f>
        <v/>
      </c>
      <c r="K3" s="6">
        <f>(B3*C3+D3*E3)*Assumptions!$B$2</f>
        <v/>
      </c>
      <c r="L3" s="6">
        <f>IFERROR(K3/J3,0)</f>
        <v/>
      </c>
      <c r="M3" s="6">
        <f>K3*(Assumptions!$B$3*F3+Assumptions!$B$4)+G3</f>
        <v/>
      </c>
      <c r="N3" s="6">
        <f>H3*Assumptions!$B$2+IF(A3=1,Assumptions!$B$5,0)</f>
        <v/>
      </c>
      <c r="O3" s="6">
        <f>I3*Assumptions!$B$2</f>
        <v/>
      </c>
      <c r="P3" s="6">
        <f>K3-M3-N3-O3</f>
        <v/>
      </c>
      <c r="Q3" s="6">
        <f>Q2+P3</f>
        <v/>
      </c>
      <c r="R3" s="6">
        <f>MAX(R2,-Q3)</f>
        <v/>
      </c>
    </row>
    <row r="4">
      <c r="A4" t="n">
        <v>3</v>
      </c>
      <c r="B4" s="4" t="n">
        <v>1</v>
      </c>
      <c r="C4" s="4" t="n">
        <v>600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140</v>
      </c>
      <c r="I4" s="4" t="n">
        <v>160</v>
      </c>
      <c r="J4" s="6">
        <f>B4+D4</f>
        <v/>
      </c>
      <c r="K4" s="6">
        <f>(B4*C4+D4*E4)*Assumptions!$B$2</f>
        <v/>
      </c>
      <c r="L4" s="6">
        <f>IFERROR(K4/J4,0)</f>
        <v/>
      </c>
      <c r="M4" s="6">
        <f>K4*(Assumptions!$B$3*F4+Assumptions!$B$4)+G4</f>
        <v/>
      </c>
      <c r="N4" s="6">
        <f>H4*Assumptions!$B$2+IF(A4=1,Assumptions!$B$5,0)</f>
        <v/>
      </c>
      <c r="O4" s="6">
        <f>I4*Assumptions!$B$2</f>
        <v/>
      </c>
      <c r="P4" s="6">
        <f>K4-M4-N4-O4</f>
        <v/>
      </c>
      <c r="Q4" s="6">
        <f>Q3+P4</f>
        <v/>
      </c>
      <c r="R4" s="6">
        <f>MAX(R3,-Q4)</f>
        <v/>
      </c>
    </row>
    <row r="5">
      <c r="A5" t="n">
        <v>4</v>
      </c>
      <c r="B5" s="4" t="n">
        <v>2</v>
      </c>
      <c r="C5" s="4" t="n">
        <v>650</v>
      </c>
      <c r="D5" s="4" t="n">
        <v>0</v>
      </c>
      <c r="E5" s="4" t="n">
        <v>0</v>
      </c>
      <c r="F5" s="5" t="n">
        <v>0.9</v>
      </c>
      <c r="G5" s="4" t="n">
        <v>0</v>
      </c>
      <c r="H5" s="4" t="n">
        <v>140</v>
      </c>
      <c r="I5" s="4" t="n">
        <v>160</v>
      </c>
      <c r="J5" s="6">
        <f>B5+D5</f>
        <v/>
      </c>
      <c r="K5" s="6">
        <f>(B5*C5+D5*E5)*Assumptions!$B$2</f>
        <v/>
      </c>
      <c r="L5" s="6">
        <f>IFERROR(K5/J5,0)</f>
        <v/>
      </c>
      <c r="M5" s="6">
        <f>K5*(Assumptions!$B$3*F5+Assumptions!$B$4)+G5</f>
        <v/>
      </c>
      <c r="N5" s="6">
        <f>H5*Assumptions!$B$2+IF(A5=1,Assumptions!$B$5,0)</f>
        <v/>
      </c>
      <c r="O5" s="6">
        <f>I5*Assumptions!$B$2</f>
        <v/>
      </c>
      <c r="P5" s="6">
        <f>K5-M5-N5-O5</f>
        <v/>
      </c>
      <c r="Q5" s="6">
        <f>Q4+P5</f>
        <v/>
      </c>
      <c r="R5" s="6">
        <f>MAX(R4,-Q5)</f>
        <v/>
      </c>
    </row>
    <row r="6">
      <c r="A6" t="n">
        <v>5</v>
      </c>
      <c r="B6" s="4" t="n">
        <v>2</v>
      </c>
      <c r="C6" s="4" t="n">
        <v>750</v>
      </c>
      <c r="D6" s="4" t="n">
        <v>1</v>
      </c>
      <c r="E6" s="4" t="n">
        <v>500</v>
      </c>
      <c r="F6" s="5" t="n">
        <v>0.8</v>
      </c>
      <c r="G6" s="4" t="n">
        <v>0</v>
      </c>
      <c r="H6" s="4" t="n">
        <v>150</v>
      </c>
      <c r="I6" s="4" t="n">
        <v>180</v>
      </c>
      <c r="J6" s="6">
        <f>B6+D6</f>
        <v/>
      </c>
      <c r="K6" s="6">
        <f>(B6*C6+D6*E6)*Assumptions!$B$2</f>
        <v/>
      </c>
      <c r="L6" s="6">
        <f>IFERROR(K6/J6,0)</f>
        <v/>
      </c>
      <c r="M6" s="6">
        <f>K6*(Assumptions!$B$3*F6+Assumptions!$B$4)+G6</f>
        <v/>
      </c>
      <c r="N6" s="6">
        <f>H6*Assumptions!$B$2+IF(A6=1,Assumptions!$B$5,0)</f>
        <v/>
      </c>
      <c r="O6" s="6">
        <f>I6*Assumptions!$B$2</f>
        <v/>
      </c>
      <c r="P6" s="6">
        <f>K6-M6-N6-O6</f>
        <v/>
      </c>
      <c r="Q6" s="6">
        <f>Q5+P6</f>
        <v/>
      </c>
      <c r="R6" s="6">
        <f>MAX(R5,-Q6)</f>
        <v/>
      </c>
    </row>
    <row r="7">
      <c r="A7" t="n">
        <v>6</v>
      </c>
      <c r="B7" s="4" t="n">
        <v>2</v>
      </c>
      <c r="C7" s="4" t="n">
        <v>800</v>
      </c>
      <c r="D7" s="4" t="n">
        <v>1</v>
      </c>
      <c r="E7" s="4" t="n">
        <v>500</v>
      </c>
      <c r="F7" s="5" t="n">
        <v>0.7</v>
      </c>
      <c r="G7" s="4" t="n">
        <v>0</v>
      </c>
      <c r="H7" s="4" t="n">
        <v>150</v>
      </c>
      <c r="I7" s="4" t="n">
        <v>180</v>
      </c>
      <c r="J7" s="6">
        <f>B7+D7</f>
        <v/>
      </c>
      <c r="K7" s="6">
        <f>(B7*C7+D7*E7)*Assumptions!$B$2</f>
        <v/>
      </c>
      <c r="L7" s="6">
        <f>IFERROR(K7/J7,0)</f>
        <v/>
      </c>
      <c r="M7" s="6">
        <f>K7*(Assumptions!$B$3*F7+Assumptions!$B$4)+G7</f>
        <v/>
      </c>
      <c r="N7" s="6">
        <f>H7*Assumptions!$B$2+IF(A7=1,Assumptions!$B$5,0)</f>
        <v/>
      </c>
      <c r="O7" s="6">
        <f>I7*Assumptions!$B$2</f>
        <v/>
      </c>
      <c r="P7" s="6">
        <f>K7-M7-N7-O7</f>
        <v/>
      </c>
      <c r="Q7" s="6">
        <f>Q6+P7</f>
        <v/>
      </c>
      <c r="R7" s="6">
        <f>MAX(R6,-Q7)</f>
        <v/>
      </c>
    </row>
    <row r="8">
      <c r="A8" t="n">
        <v>7</v>
      </c>
      <c r="B8" s="4" t="n">
        <v>2</v>
      </c>
      <c r="C8" s="4" t="n">
        <v>850</v>
      </c>
      <c r="D8" s="4" t="n">
        <v>2</v>
      </c>
      <c r="E8" s="4" t="n">
        <v>550</v>
      </c>
      <c r="F8" s="5" t="n">
        <v>0.6</v>
      </c>
      <c r="G8" s="4" t="n">
        <v>60000</v>
      </c>
      <c r="H8" s="4" t="n">
        <v>150</v>
      </c>
      <c r="I8" s="4" t="n">
        <v>180</v>
      </c>
      <c r="J8" s="6">
        <f>B8+D8</f>
        <v/>
      </c>
      <c r="K8" s="6">
        <f>(B8*C8+D8*E8)*Assumptions!$B$2</f>
        <v/>
      </c>
      <c r="L8" s="6">
        <f>IFERROR(K8/J8,0)</f>
        <v/>
      </c>
      <c r="M8" s="6">
        <f>K8*(Assumptions!$B$3*F8+Assumptions!$B$4)+G8</f>
        <v/>
      </c>
      <c r="N8" s="6">
        <f>H8*Assumptions!$B$2+IF(A8=1,Assumptions!$B$5,0)</f>
        <v/>
      </c>
      <c r="O8" s="6">
        <f>I8*Assumptions!$B$2</f>
        <v/>
      </c>
      <c r="P8" s="6">
        <f>K8-M8-N8-O8</f>
        <v/>
      </c>
      <c r="Q8" s="6">
        <f>Q7+P8</f>
        <v/>
      </c>
      <c r="R8" s="6">
        <f>MAX(R7,-Q8)</f>
        <v/>
      </c>
    </row>
    <row r="9">
      <c r="A9" t="n">
        <v>8</v>
      </c>
      <c r="B9" s="4" t="n">
        <v>2</v>
      </c>
      <c r="C9" s="4" t="n">
        <v>900</v>
      </c>
      <c r="D9" s="4" t="n">
        <v>2</v>
      </c>
      <c r="E9" s="4" t="n">
        <v>600</v>
      </c>
      <c r="F9" s="5" t="n">
        <v>0.6</v>
      </c>
      <c r="G9" s="4" t="n">
        <v>60000</v>
      </c>
      <c r="H9" s="4" t="n">
        <v>150</v>
      </c>
      <c r="I9" s="4" t="n">
        <v>180</v>
      </c>
      <c r="J9" s="6">
        <f>B9+D9</f>
        <v/>
      </c>
      <c r="K9" s="6">
        <f>(B9*C9+D9*E9)*Assumptions!$B$2</f>
        <v/>
      </c>
      <c r="L9" s="6">
        <f>IFERROR(K9/J9,0)</f>
        <v/>
      </c>
      <c r="M9" s="6">
        <f>K9*(Assumptions!$B$3*F9+Assumptions!$B$4)+G9</f>
        <v/>
      </c>
      <c r="N9" s="6">
        <f>H9*Assumptions!$B$2+IF(A9=1,Assumptions!$B$5,0)</f>
        <v/>
      </c>
      <c r="O9" s="6">
        <f>I9*Assumptions!$B$2</f>
        <v/>
      </c>
      <c r="P9" s="6">
        <f>K9-M9-N9-O9</f>
        <v/>
      </c>
      <c r="Q9" s="6">
        <f>Q8+P9</f>
        <v/>
      </c>
      <c r="R9" s="6">
        <f>MAX(R8,-Q9)</f>
        <v/>
      </c>
    </row>
    <row r="10">
      <c r="A10" t="n">
        <v>9</v>
      </c>
      <c r="B10" s="4" t="n">
        <v>2</v>
      </c>
      <c r="C10" s="4" t="n">
        <v>950</v>
      </c>
      <c r="D10" s="4" t="n">
        <v>3</v>
      </c>
      <c r="E10" s="4" t="n">
        <v>600</v>
      </c>
      <c r="F10" s="5" t="n">
        <v>0.5</v>
      </c>
      <c r="G10" s="4" t="n">
        <v>80000</v>
      </c>
      <c r="H10" s="4" t="n">
        <v>160</v>
      </c>
      <c r="I10" s="4" t="n">
        <v>200</v>
      </c>
      <c r="J10" s="6">
        <f>B10+D10</f>
        <v/>
      </c>
      <c r="K10" s="6">
        <f>(B10*C10+D10*E10)*Assumptions!$B$2</f>
        <v/>
      </c>
      <c r="L10" s="6">
        <f>IFERROR(K10/J10,0)</f>
        <v/>
      </c>
      <c r="M10" s="6">
        <f>K10*(Assumptions!$B$3*F10+Assumptions!$B$4)+G10</f>
        <v/>
      </c>
      <c r="N10" s="6">
        <f>H10*Assumptions!$B$2+IF(A10=1,Assumptions!$B$5,0)</f>
        <v/>
      </c>
      <c r="O10" s="6">
        <f>I10*Assumptions!$B$2</f>
        <v/>
      </c>
      <c r="P10" s="6">
        <f>K10-M10-N10-O10</f>
        <v/>
      </c>
      <c r="Q10" s="6">
        <f>Q9+P10</f>
        <v/>
      </c>
      <c r="R10" s="6">
        <f>MAX(R9,-Q10)</f>
        <v/>
      </c>
    </row>
    <row r="11">
      <c r="A11" t="n">
        <v>10</v>
      </c>
      <c r="B11" s="4" t="n">
        <v>2</v>
      </c>
      <c r="C11" s="4" t="n">
        <v>1000</v>
      </c>
      <c r="D11" s="4" t="n">
        <v>3</v>
      </c>
      <c r="E11" s="4" t="n">
        <v>650</v>
      </c>
      <c r="F11" s="5" t="n">
        <v>0.5</v>
      </c>
      <c r="G11" s="4" t="n">
        <v>80000</v>
      </c>
      <c r="H11" s="4" t="n">
        <v>160</v>
      </c>
      <c r="I11" s="4" t="n">
        <v>200</v>
      </c>
      <c r="J11" s="6">
        <f>B11+D11</f>
        <v/>
      </c>
      <c r="K11" s="6">
        <f>(B11*C11+D11*E11)*Assumptions!$B$2</f>
        <v/>
      </c>
      <c r="L11" s="6">
        <f>IFERROR(K11/J11,0)</f>
        <v/>
      </c>
      <c r="M11" s="6">
        <f>K11*(Assumptions!$B$3*F11+Assumptions!$B$4)+G11</f>
        <v/>
      </c>
      <c r="N11" s="6">
        <f>H11*Assumptions!$B$2+IF(A11=1,Assumptions!$B$5,0)</f>
        <v/>
      </c>
      <c r="O11" s="6">
        <f>I11*Assumptions!$B$2</f>
        <v/>
      </c>
      <c r="P11" s="6">
        <f>K11-M11-N11-O11</f>
        <v/>
      </c>
      <c r="Q11" s="6">
        <f>Q10+P11</f>
        <v/>
      </c>
      <c r="R11" s="6">
        <f>MAX(R10,-Q11)</f>
        <v/>
      </c>
    </row>
    <row r="12">
      <c r="A12" t="n">
        <v>11</v>
      </c>
      <c r="B12" s="4" t="n">
        <v>2</v>
      </c>
      <c r="C12" s="4" t="n">
        <v>1050</v>
      </c>
      <c r="D12" s="4" t="n">
        <v>4</v>
      </c>
      <c r="E12" s="4" t="n">
        <v>650</v>
      </c>
      <c r="F12" s="5" t="n">
        <v>0.4</v>
      </c>
      <c r="G12" s="4" t="n">
        <v>100000</v>
      </c>
      <c r="H12" s="4" t="n">
        <v>160</v>
      </c>
      <c r="I12" s="4" t="n">
        <v>200</v>
      </c>
      <c r="J12" s="6">
        <f>B12+D12</f>
        <v/>
      </c>
      <c r="K12" s="6">
        <f>(B12*C12+D12*E12)*Assumptions!$B$2</f>
        <v/>
      </c>
      <c r="L12" s="6">
        <f>IFERROR(K12/J12,0)</f>
        <v/>
      </c>
      <c r="M12" s="6">
        <f>K12*(Assumptions!$B$3*F12+Assumptions!$B$4)+G12</f>
        <v/>
      </c>
      <c r="N12" s="6">
        <f>H12*Assumptions!$B$2+IF(A12=1,Assumptions!$B$5,0)</f>
        <v/>
      </c>
      <c r="O12" s="6">
        <f>I12*Assumptions!$B$2</f>
        <v/>
      </c>
      <c r="P12" s="6">
        <f>K12-M12-N12-O12</f>
        <v/>
      </c>
      <c r="Q12" s="6">
        <f>Q11+P12</f>
        <v/>
      </c>
      <c r="R12" s="6">
        <f>MAX(R11,-Q12)</f>
        <v/>
      </c>
    </row>
    <row r="13">
      <c r="A13" t="n">
        <v>12</v>
      </c>
      <c r="B13" s="4" t="n">
        <v>2</v>
      </c>
      <c r="C13" s="4" t="n">
        <v>1100</v>
      </c>
      <c r="D13" s="4" t="n">
        <v>4</v>
      </c>
      <c r="E13" s="4" t="n">
        <v>650</v>
      </c>
      <c r="F13" s="5" t="n">
        <v>0.4</v>
      </c>
      <c r="G13" s="4" t="n">
        <v>100000</v>
      </c>
      <c r="H13" s="4" t="n">
        <v>160</v>
      </c>
      <c r="I13" s="4" t="n">
        <v>200</v>
      </c>
      <c r="J13" s="6">
        <f>B13+D13</f>
        <v/>
      </c>
      <c r="K13" s="6">
        <f>(B13*C13+D13*E13)*Assumptions!$B$2</f>
        <v/>
      </c>
      <c r="L13" s="6">
        <f>IFERROR(K13/J13,0)</f>
        <v/>
      </c>
      <c r="M13" s="6">
        <f>K13*(Assumptions!$B$3*F13+Assumptions!$B$4)+G13</f>
        <v/>
      </c>
      <c r="N13" s="6">
        <f>H13*Assumptions!$B$2+IF(A13=1,Assumptions!$B$5,0)</f>
        <v/>
      </c>
      <c r="O13" s="6">
        <f>I13*Assumptions!$B$2</f>
        <v/>
      </c>
      <c r="P13" s="6">
        <f>K13-M13-N13-O13</f>
        <v/>
      </c>
      <c r="Q13" s="6">
        <f>Q12+P13</f>
        <v/>
      </c>
      <c r="R13" s="6">
        <f>MAX(R12,-Q13)</f>
        <v/>
      </c>
    </row>
    <row r="15">
      <c r="A15" s="7" t="inlineStr">
        <is>
          <t>Total</t>
        </is>
      </c>
      <c r="K15" s="6">
        <f>SUM(K2:K13)</f>
        <v/>
      </c>
      <c r="M15" s="6">
        <f>SUM(M2:M13)</f>
        <v/>
      </c>
      <c r="N15" s="6">
        <f>SUM(N2:N13)</f>
        <v/>
      </c>
      <c r="O15" s="6">
        <f>SUM(O2:O13)</f>
        <v/>
      </c>
      <c r="P15" s="6">
        <f>SUM(P2:P13)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Month</t>
        </is>
      </c>
      <c r="B1" s="1" t="inlineStr">
        <is>
          <t>Projects</t>
        </is>
      </c>
      <c r="C1" s="1" t="inlineStr">
        <is>
          <t>Avg project USD</t>
        </is>
      </c>
      <c r="D1" s="1" t="inlineStr">
        <is>
          <t>Retainers</t>
        </is>
      </c>
      <c r="E1" s="1" t="inlineStr">
        <is>
          <t>Avg retainer USD</t>
        </is>
      </c>
      <c r="F1" s="1" t="inlineStr">
        <is>
          <t>Upwork share</t>
        </is>
      </c>
      <c r="G1" s="1" t="inlineStr">
        <is>
          <t>Contractor PKR</t>
        </is>
      </c>
      <c r="H1" s="1" t="inlineStr">
        <is>
          <t>Software USD</t>
        </is>
      </c>
      <c r="I1" s="1" t="inlineStr">
        <is>
          <t>Marketing USD</t>
        </is>
      </c>
      <c r="J1" s="1" t="inlineStr">
        <is>
          <t>Paying customers</t>
        </is>
      </c>
      <c r="K1" s="1" t="inlineStr">
        <is>
          <t>Revenue PKR</t>
        </is>
      </c>
      <c r="L1" s="1" t="inlineStr">
        <is>
          <t>Avg rev/customer PKR</t>
        </is>
      </c>
      <c r="M1" s="1" t="inlineStr">
        <is>
          <t>Direct costs PKR</t>
        </is>
      </c>
      <c r="N1" s="1" t="inlineStr">
        <is>
          <t>Software/ops PKR</t>
        </is>
      </c>
      <c r="O1" s="1" t="inlineStr">
        <is>
          <t>Marketing PKR</t>
        </is>
      </c>
      <c r="P1" s="1" t="inlineStr">
        <is>
          <t>Net profit PKR</t>
        </is>
      </c>
      <c r="Q1" s="1" t="inlineStr">
        <is>
          <t>Cumulative profit PKR</t>
        </is>
      </c>
      <c r="R1" s="1" t="inlineStr">
        <is>
          <t>Cumulative investment PKR</t>
        </is>
      </c>
    </row>
    <row r="2">
      <c r="A2" t="n">
        <v>1</v>
      </c>
      <c r="B2" s="4" t="n">
        <v>0</v>
      </c>
      <c r="C2" s="4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100</v>
      </c>
      <c r="I2" s="4" t="n">
        <v>80</v>
      </c>
      <c r="J2" s="6">
        <f>B2+D2</f>
        <v/>
      </c>
      <c r="K2" s="6">
        <f>(B2*C2+D2*E2)*Assumptions!$B$2</f>
        <v/>
      </c>
      <c r="L2" s="6">
        <f>IFERROR(K2/J2,0)</f>
        <v/>
      </c>
      <c r="M2" s="6">
        <f>K2*(Assumptions!$B$3*F2+Assumptions!$B$4)+G2</f>
        <v/>
      </c>
      <c r="N2" s="6">
        <f>H2*Assumptions!$B$2+IF(A2=1,Assumptions!$B$5,0)</f>
        <v/>
      </c>
      <c r="O2" s="6">
        <f>I2*Assumptions!$B$2</f>
        <v/>
      </c>
      <c r="P2" s="6">
        <f>K2-M2-N2-O2</f>
        <v/>
      </c>
      <c r="Q2" s="6">
        <f>P2</f>
        <v/>
      </c>
      <c r="R2" s="6">
        <f>MAX(0,-Q2)</f>
        <v/>
      </c>
    </row>
    <row r="3">
      <c r="A3" t="n">
        <v>2</v>
      </c>
      <c r="B3" s="4" t="n">
        <v>1</v>
      </c>
      <c r="C3" s="4" t="n">
        <v>600</v>
      </c>
      <c r="D3" s="4" t="n">
        <v>0</v>
      </c>
      <c r="E3" s="4" t="n">
        <v>0</v>
      </c>
      <c r="F3" s="5" t="n">
        <v>0.9</v>
      </c>
      <c r="G3" s="4" t="n">
        <v>0</v>
      </c>
      <c r="H3" s="4" t="n">
        <v>180</v>
      </c>
      <c r="I3" s="4" t="n">
        <v>200</v>
      </c>
      <c r="J3" s="6">
        <f>B3+D3</f>
        <v/>
      </c>
      <c r="K3" s="6">
        <f>(B3*C3+D3*E3)*Assumptions!$B$2</f>
        <v/>
      </c>
      <c r="L3" s="6">
        <f>IFERROR(K3/J3,0)</f>
        <v/>
      </c>
      <c r="M3" s="6">
        <f>K3*(Assumptions!$B$3*F3+Assumptions!$B$4)+G3</f>
        <v/>
      </c>
      <c r="N3" s="6">
        <f>H3*Assumptions!$B$2+IF(A3=1,Assumptions!$B$5,0)</f>
        <v/>
      </c>
      <c r="O3" s="6">
        <f>I3*Assumptions!$B$2</f>
        <v/>
      </c>
      <c r="P3" s="6">
        <f>K3-M3-N3-O3</f>
        <v/>
      </c>
      <c r="Q3" s="6">
        <f>Q2+P3</f>
        <v/>
      </c>
      <c r="R3" s="6">
        <f>MAX(R2,-Q3)</f>
        <v/>
      </c>
    </row>
    <row r="4">
      <c r="A4" t="n">
        <v>3</v>
      </c>
      <c r="B4" s="4" t="n">
        <v>2</v>
      </c>
      <c r="C4" s="4" t="n">
        <v>800</v>
      </c>
      <c r="D4" s="4" t="n">
        <v>1</v>
      </c>
      <c r="E4" s="4" t="n">
        <v>500</v>
      </c>
      <c r="F4" s="5" t="n">
        <v>0.8</v>
      </c>
      <c r="G4" s="4" t="n">
        <v>0</v>
      </c>
      <c r="H4" s="4" t="n">
        <v>180</v>
      </c>
      <c r="I4" s="4" t="n">
        <v>250</v>
      </c>
      <c r="J4" s="6">
        <f>B4+D4</f>
        <v/>
      </c>
      <c r="K4" s="6">
        <f>(B4*C4+D4*E4)*Assumptions!$B$2</f>
        <v/>
      </c>
      <c r="L4" s="6">
        <f>IFERROR(K4/J4,0)</f>
        <v/>
      </c>
      <c r="M4" s="6">
        <f>K4*(Assumptions!$B$3*F4+Assumptions!$B$4)+G4</f>
        <v/>
      </c>
      <c r="N4" s="6">
        <f>H4*Assumptions!$B$2+IF(A4=1,Assumptions!$B$5,0)</f>
        <v/>
      </c>
      <c r="O4" s="6">
        <f>I4*Assumptions!$B$2</f>
        <v/>
      </c>
      <c r="P4" s="6">
        <f>K4-M4-N4-O4</f>
        <v/>
      </c>
      <c r="Q4" s="6">
        <f>Q3+P4</f>
        <v/>
      </c>
      <c r="R4" s="6">
        <f>MAX(R3,-Q4)</f>
        <v/>
      </c>
    </row>
    <row r="5">
      <c r="A5" t="n">
        <v>4</v>
      </c>
      <c r="B5" s="4" t="n">
        <v>3</v>
      </c>
      <c r="C5" s="4" t="n">
        <v>900</v>
      </c>
      <c r="D5" s="4" t="n">
        <v>1</v>
      </c>
      <c r="E5" s="4" t="n">
        <v>550</v>
      </c>
      <c r="F5" s="5" t="n">
        <v>0.7</v>
      </c>
      <c r="G5" s="4" t="n">
        <v>0</v>
      </c>
      <c r="H5" s="4" t="n">
        <v>200</v>
      </c>
      <c r="I5" s="4" t="n">
        <v>250</v>
      </c>
      <c r="J5" s="6">
        <f>B5+D5</f>
        <v/>
      </c>
      <c r="K5" s="6">
        <f>(B5*C5+D5*E5)*Assumptions!$B$2</f>
        <v/>
      </c>
      <c r="L5" s="6">
        <f>IFERROR(K5/J5,0)</f>
        <v/>
      </c>
      <c r="M5" s="6">
        <f>K5*(Assumptions!$B$3*F5+Assumptions!$B$4)+G5</f>
        <v/>
      </c>
      <c r="N5" s="6">
        <f>H5*Assumptions!$B$2+IF(A5=1,Assumptions!$B$5,0)</f>
        <v/>
      </c>
      <c r="O5" s="6">
        <f>I5*Assumptions!$B$2</f>
        <v/>
      </c>
      <c r="P5" s="6">
        <f>K5-M5-N5-O5</f>
        <v/>
      </c>
      <c r="Q5" s="6">
        <f>Q4+P5</f>
        <v/>
      </c>
      <c r="R5" s="6">
        <f>MAX(R4,-Q5)</f>
        <v/>
      </c>
    </row>
    <row r="6">
      <c r="A6" t="n">
        <v>5</v>
      </c>
      <c r="B6" s="4" t="n">
        <v>3</v>
      </c>
      <c r="C6" s="4" t="n">
        <v>1000</v>
      </c>
      <c r="D6" s="4" t="n">
        <v>2</v>
      </c>
      <c r="E6" s="4" t="n">
        <v>600</v>
      </c>
      <c r="F6" s="5" t="n">
        <v>0.6</v>
      </c>
      <c r="G6" s="4" t="n">
        <v>60000</v>
      </c>
      <c r="H6" s="4" t="n">
        <v>200</v>
      </c>
      <c r="I6" s="4" t="n">
        <v>300</v>
      </c>
      <c r="J6" s="6">
        <f>B6+D6</f>
        <v/>
      </c>
      <c r="K6" s="6">
        <f>(B6*C6+D6*E6)*Assumptions!$B$2</f>
        <v/>
      </c>
      <c r="L6" s="6">
        <f>IFERROR(K6/J6,0)</f>
        <v/>
      </c>
      <c r="M6" s="6">
        <f>K6*(Assumptions!$B$3*F6+Assumptions!$B$4)+G6</f>
        <v/>
      </c>
      <c r="N6" s="6">
        <f>H6*Assumptions!$B$2+IF(A6=1,Assumptions!$B$5,0)</f>
        <v/>
      </c>
      <c r="O6" s="6">
        <f>I6*Assumptions!$B$2</f>
        <v/>
      </c>
      <c r="P6" s="6">
        <f>K6-M6-N6-O6</f>
        <v/>
      </c>
      <c r="Q6" s="6">
        <f>Q5+P6</f>
        <v/>
      </c>
      <c r="R6" s="6">
        <f>MAX(R5,-Q6)</f>
        <v/>
      </c>
    </row>
    <row r="7">
      <c r="A7" t="n">
        <v>6</v>
      </c>
      <c r="B7" s="4" t="n">
        <v>3</v>
      </c>
      <c r="C7" s="4" t="n">
        <v>1100</v>
      </c>
      <c r="D7" s="4" t="n">
        <v>3</v>
      </c>
      <c r="E7" s="4" t="n">
        <v>650</v>
      </c>
      <c r="F7" s="5" t="n">
        <v>0.5</v>
      </c>
      <c r="G7" s="4" t="n">
        <v>80000</v>
      </c>
      <c r="H7" s="4" t="n">
        <v>220</v>
      </c>
      <c r="I7" s="4" t="n">
        <v>300</v>
      </c>
      <c r="J7" s="6">
        <f>B7+D7</f>
        <v/>
      </c>
      <c r="K7" s="6">
        <f>(B7*C7+D7*E7)*Assumptions!$B$2</f>
        <v/>
      </c>
      <c r="L7" s="6">
        <f>IFERROR(K7/J7,0)</f>
        <v/>
      </c>
      <c r="M7" s="6">
        <f>K7*(Assumptions!$B$3*F7+Assumptions!$B$4)+G7</f>
        <v/>
      </c>
      <c r="N7" s="6">
        <f>H7*Assumptions!$B$2+IF(A7=1,Assumptions!$B$5,0)</f>
        <v/>
      </c>
      <c r="O7" s="6">
        <f>I7*Assumptions!$B$2</f>
        <v/>
      </c>
      <c r="P7" s="6">
        <f>K7-M7-N7-O7</f>
        <v/>
      </c>
      <c r="Q7" s="6">
        <f>Q6+P7</f>
        <v/>
      </c>
      <c r="R7" s="6">
        <f>MAX(R6,-Q7)</f>
        <v/>
      </c>
    </row>
    <row r="8">
      <c r="A8" t="n">
        <v>7</v>
      </c>
      <c r="B8" s="4" t="n">
        <v>3</v>
      </c>
      <c r="C8" s="4" t="n">
        <v>1200</v>
      </c>
      <c r="D8" s="4" t="n">
        <v>4</v>
      </c>
      <c r="E8" s="4" t="n">
        <v>700</v>
      </c>
      <c r="F8" s="5" t="n">
        <v>0.5</v>
      </c>
      <c r="G8" s="4" t="n">
        <v>120000</v>
      </c>
      <c r="H8" s="4" t="n">
        <v>220</v>
      </c>
      <c r="I8" s="4" t="n">
        <v>350</v>
      </c>
      <c r="J8" s="6">
        <f>B8+D8</f>
        <v/>
      </c>
      <c r="K8" s="6">
        <f>(B8*C8+D8*E8)*Assumptions!$B$2</f>
        <v/>
      </c>
      <c r="L8" s="6">
        <f>IFERROR(K8/J8,0)</f>
        <v/>
      </c>
      <c r="M8" s="6">
        <f>K8*(Assumptions!$B$3*F8+Assumptions!$B$4)+G8</f>
        <v/>
      </c>
      <c r="N8" s="6">
        <f>H8*Assumptions!$B$2+IF(A8=1,Assumptions!$B$5,0)</f>
        <v/>
      </c>
      <c r="O8" s="6">
        <f>I8*Assumptions!$B$2</f>
        <v/>
      </c>
      <c r="P8" s="6">
        <f>K8-M8-N8-O8</f>
        <v/>
      </c>
      <c r="Q8" s="6">
        <f>Q7+P8</f>
        <v/>
      </c>
      <c r="R8" s="6">
        <f>MAX(R7,-Q8)</f>
        <v/>
      </c>
    </row>
    <row r="9">
      <c r="A9" t="n">
        <v>8</v>
      </c>
      <c r="B9" s="4" t="n">
        <v>3</v>
      </c>
      <c r="C9" s="4" t="n">
        <v>1300</v>
      </c>
      <c r="D9" s="4" t="n">
        <v>5</v>
      </c>
      <c r="E9" s="4" t="n">
        <v>700</v>
      </c>
      <c r="F9" s="5" t="n">
        <v>0.4</v>
      </c>
      <c r="G9" s="4" t="n">
        <v>150000</v>
      </c>
      <c r="H9" s="4" t="n">
        <v>250</v>
      </c>
      <c r="I9" s="4" t="n">
        <v>350</v>
      </c>
      <c r="J9" s="6">
        <f>B9+D9</f>
        <v/>
      </c>
      <c r="K9" s="6">
        <f>(B9*C9+D9*E9)*Assumptions!$B$2</f>
        <v/>
      </c>
      <c r="L9" s="6">
        <f>IFERROR(K9/J9,0)</f>
        <v/>
      </c>
      <c r="M9" s="6">
        <f>K9*(Assumptions!$B$3*F9+Assumptions!$B$4)+G9</f>
        <v/>
      </c>
      <c r="N9" s="6">
        <f>H9*Assumptions!$B$2+IF(A9=1,Assumptions!$B$5,0)</f>
        <v/>
      </c>
      <c r="O9" s="6">
        <f>I9*Assumptions!$B$2</f>
        <v/>
      </c>
      <c r="P9" s="6">
        <f>K9-M9-N9-O9</f>
        <v/>
      </c>
      <c r="Q9" s="6">
        <f>Q8+P9</f>
        <v/>
      </c>
      <c r="R9" s="6">
        <f>MAX(R8,-Q9)</f>
        <v/>
      </c>
    </row>
    <row r="10">
      <c r="A10" t="n">
        <v>9</v>
      </c>
      <c r="B10" s="4" t="n">
        <v>3</v>
      </c>
      <c r="C10" s="4" t="n">
        <v>1400</v>
      </c>
      <c r="D10" s="4" t="n">
        <v>5</v>
      </c>
      <c r="E10" s="4" t="n">
        <v>750</v>
      </c>
      <c r="F10" s="5" t="n">
        <v>0.4</v>
      </c>
      <c r="G10" s="4" t="n">
        <v>180000</v>
      </c>
      <c r="H10" s="4" t="n">
        <v>250</v>
      </c>
      <c r="I10" s="4" t="n">
        <v>400</v>
      </c>
      <c r="J10" s="6">
        <f>B10+D10</f>
        <v/>
      </c>
      <c r="K10" s="6">
        <f>(B10*C10+D10*E10)*Assumptions!$B$2</f>
        <v/>
      </c>
      <c r="L10" s="6">
        <f>IFERROR(K10/J10,0)</f>
        <v/>
      </c>
      <c r="M10" s="6">
        <f>K10*(Assumptions!$B$3*F10+Assumptions!$B$4)+G10</f>
        <v/>
      </c>
      <c r="N10" s="6">
        <f>H10*Assumptions!$B$2+IF(A10=1,Assumptions!$B$5,0)</f>
        <v/>
      </c>
      <c r="O10" s="6">
        <f>I10*Assumptions!$B$2</f>
        <v/>
      </c>
      <c r="P10" s="6">
        <f>K10-M10-N10-O10</f>
        <v/>
      </c>
      <c r="Q10" s="6">
        <f>Q9+P10</f>
        <v/>
      </c>
      <c r="R10" s="6">
        <f>MAX(R9,-Q10)</f>
        <v/>
      </c>
    </row>
    <row r="11">
      <c r="A11" t="n">
        <v>10</v>
      </c>
      <c r="B11" s="4" t="n">
        <v>3</v>
      </c>
      <c r="C11" s="4" t="n">
        <v>1400</v>
      </c>
      <c r="D11" s="4" t="n">
        <v>6</v>
      </c>
      <c r="E11" s="4" t="n">
        <v>750</v>
      </c>
      <c r="F11" s="5" t="n">
        <v>0.3</v>
      </c>
      <c r="G11" s="4" t="n">
        <v>220000</v>
      </c>
      <c r="H11" s="4" t="n">
        <v>250</v>
      </c>
      <c r="I11" s="4" t="n">
        <v>400</v>
      </c>
      <c r="J11" s="6">
        <f>B11+D11</f>
        <v/>
      </c>
      <c r="K11" s="6">
        <f>(B11*C11+D11*E11)*Assumptions!$B$2</f>
        <v/>
      </c>
      <c r="L11" s="6">
        <f>IFERROR(K11/J11,0)</f>
        <v/>
      </c>
      <c r="M11" s="6">
        <f>K11*(Assumptions!$B$3*F11+Assumptions!$B$4)+G11</f>
        <v/>
      </c>
      <c r="N11" s="6">
        <f>H11*Assumptions!$B$2+IF(A11=1,Assumptions!$B$5,0)</f>
        <v/>
      </c>
      <c r="O11" s="6">
        <f>I11*Assumptions!$B$2</f>
        <v/>
      </c>
      <c r="P11" s="6">
        <f>K11-M11-N11-O11</f>
        <v/>
      </c>
      <c r="Q11" s="6">
        <f>Q10+P11</f>
        <v/>
      </c>
      <c r="R11" s="6">
        <f>MAX(R10,-Q11)</f>
        <v/>
      </c>
    </row>
    <row r="12">
      <c r="A12" t="n">
        <v>11</v>
      </c>
      <c r="B12" s="4" t="n">
        <v>3</v>
      </c>
      <c r="C12" s="4" t="n">
        <v>1500</v>
      </c>
      <c r="D12" s="4" t="n">
        <v>7</v>
      </c>
      <c r="E12" s="4" t="n">
        <v>800</v>
      </c>
      <c r="F12" s="5" t="n">
        <v>0.3</v>
      </c>
      <c r="G12" s="4" t="n">
        <v>260000</v>
      </c>
      <c r="H12" s="4" t="n">
        <v>280</v>
      </c>
      <c r="I12" s="4" t="n">
        <v>400</v>
      </c>
      <c r="J12" s="6">
        <f>B12+D12</f>
        <v/>
      </c>
      <c r="K12" s="6">
        <f>(B12*C12+D12*E12)*Assumptions!$B$2</f>
        <v/>
      </c>
      <c r="L12" s="6">
        <f>IFERROR(K12/J12,0)</f>
        <v/>
      </c>
      <c r="M12" s="6">
        <f>K12*(Assumptions!$B$3*F12+Assumptions!$B$4)+G12</f>
        <v/>
      </c>
      <c r="N12" s="6">
        <f>H12*Assumptions!$B$2+IF(A12=1,Assumptions!$B$5,0)</f>
        <v/>
      </c>
      <c r="O12" s="6">
        <f>I12*Assumptions!$B$2</f>
        <v/>
      </c>
      <c r="P12" s="6">
        <f>K12-M12-N12-O12</f>
        <v/>
      </c>
      <c r="Q12" s="6">
        <f>Q11+P12</f>
        <v/>
      </c>
      <c r="R12" s="6">
        <f>MAX(R11,-Q12)</f>
        <v/>
      </c>
    </row>
    <row r="13">
      <c r="A13" t="n">
        <v>12</v>
      </c>
      <c r="B13" s="4" t="n">
        <v>3</v>
      </c>
      <c r="C13" s="4" t="n">
        <v>1500</v>
      </c>
      <c r="D13" s="4" t="n">
        <v>8</v>
      </c>
      <c r="E13" s="4" t="n">
        <v>800</v>
      </c>
      <c r="F13" s="5" t="n">
        <v>0.3</v>
      </c>
      <c r="G13" s="4" t="n">
        <v>300000</v>
      </c>
      <c r="H13" s="4" t="n">
        <v>280</v>
      </c>
      <c r="I13" s="4" t="n">
        <v>400</v>
      </c>
      <c r="J13" s="6">
        <f>B13+D13</f>
        <v/>
      </c>
      <c r="K13" s="6">
        <f>(B13*C13+D13*E13)*Assumptions!$B$2</f>
        <v/>
      </c>
      <c r="L13" s="6">
        <f>IFERROR(K13/J13,0)</f>
        <v/>
      </c>
      <c r="M13" s="6">
        <f>K13*(Assumptions!$B$3*F13+Assumptions!$B$4)+G13</f>
        <v/>
      </c>
      <c r="N13" s="6">
        <f>H13*Assumptions!$B$2+IF(A13=1,Assumptions!$B$5,0)</f>
        <v/>
      </c>
      <c r="O13" s="6">
        <f>I13*Assumptions!$B$2</f>
        <v/>
      </c>
      <c r="P13" s="6">
        <f>K13-M13-N13-O13</f>
        <v/>
      </c>
      <c r="Q13" s="6">
        <f>Q12+P13</f>
        <v/>
      </c>
      <c r="R13" s="6">
        <f>MAX(R12,-Q13)</f>
        <v/>
      </c>
    </row>
    <row r="15">
      <c r="A15" s="7" t="inlineStr">
        <is>
          <t>Total</t>
        </is>
      </c>
      <c r="K15" s="6">
        <f>SUM(K2:K13)</f>
        <v/>
      </c>
      <c r="M15" s="6">
        <f>SUM(M2:M13)</f>
        <v/>
      </c>
      <c r="N15" s="6">
        <f>SUM(N2:N13)</f>
        <v/>
      </c>
      <c r="O15" s="6">
        <f>SUM(O2:O13)</f>
        <v/>
      </c>
      <c r="P15" s="6">
        <f>SUM(P2:P13)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7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Idea</t>
        </is>
      </c>
      <c r="B1" s="1" t="inlineStr">
        <is>
          <t>Market demand</t>
        </is>
      </c>
      <c r="C1" s="1" t="inlineStr">
        <is>
          <t>Profitability</t>
        </is>
      </c>
      <c r="D1" s="1" t="inlineStr">
        <is>
          <t>Low capital</t>
        </is>
      </c>
      <c r="E1" s="1" t="inlineStr">
        <is>
          <t>Ease of start</t>
        </is>
      </c>
      <c r="F1" s="1" t="inlineStr">
        <is>
          <t>Skill fit</t>
        </is>
      </c>
      <c r="G1" s="1" t="inlineStr">
        <is>
          <t>Intl earning</t>
        </is>
      </c>
      <c r="H1" s="1" t="inlineStr">
        <is>
          <t>Scalability</t>
        </is>
      </c>
      <c r="I1" s="1" t="inlineStr">
        <is>
          <t>Competition (10=low)</t>
        </is>
      </c>
      <c r="J1" s="1" t="inlineStr">
        <is>
          <t>Speed to revenue</t>
        </is>
      </c>
      <c r="K1" s="1" t="inlineStr">
        <is>
          <t>Long-term potential</t>
        </is>
      </c>
      <c r="L1" s="1" t="inlineStr">
        <is>
          <t>Weighted score</t>
        </is>
      </c>
    </row>
    <row r="2">
      <c r="A2" s="7" t="inlineStr">
        <is>
          <t>WEIGHTS</t>
        </is>
      </c>
      <c r="B2" s="4" t="n">
        <v>0.1</v>
      </c>
      <c r="C2" s="4" t="n">
        <v>0.1</v>
      </c>
      <c r="D2" s="4" t="n">
        <v>0.07000000000000001</v>
      </c>
      <c r="E2" s="4" t="n">
        <v>0.08</v>
      </c>
      <c r="F2" s="4" t="n">
        <v>0.15</v>
      </c>
      <c r="G2" s="4" t="n">
        <v>0.12</v>
      </c>
      <c r="H2" s="4" t="n">
        <v>0.1</v>
      </c>
      <c r="I2" s="4" t="n">
        <v>0.08</v>
      </c>
      <c r="J2" s="4" t="n">
        <v>0.1</v>
      </c>
      <c r="K2" s="4" t="n">
        <v>0.1</v>
      </c>
    </row>
    <row r="3">
      <c r="A3" t="inlineStr">
        <is>
          <t>1. Planning &amp; Plant Performance Control Tower (productized Power BI for SME manufacturers)</t>
        </is>
      </c>
      <c r="B3" s="4" t="n">
        <v>8</v>
      </c>
      <c r="C3" s="4" t="n">
        <v>8</v>
      </c>
      <c r="D3" s="4" t="n">
        <v>9</v>
      </c>
      <c r="E3" s="4" t="n">
        <v>7</v>
      </c>
      <c r="F3" s="4" t="n">
        <v>10</v>
      </c>
      <c r="G3" s="4" t="n">
        <v>9</v>
      </c>
      <c r="H3" s="4" t="n">
        <v>7</v>
      </c>
      <c r="I3" s="4" t="n">
        <v>6</v>
      </c>
      <c r="J3" s="4" t="n">
        <v>7</v>
      </c>
      <c r="K3" s="4" t="n">
        <v>8</v>
      </c>
      <c r="L3" s="8">
        <f>SUMPRODUCT(B3:K3,$B$2:$K$2)</f>
        <v/>
      </c>
    </row>
    <row r="4">
      <c r="A4" t="inlineStr">
        <is>
          <t>2. Fractional S&amp;OP / Supply Planning Analyst (retainer)</t>
        </is>
      </c>
      <c r="B4" s="4" t="n">
        <v>7</v>
      </c>
      <c r="C4" s="4" t="n">
        <v>8</v>
      </c>
      <c r="D4" s="4" t="n">
        <v>10</v>
      </c>
      <c r="E4" s="4" t="n">
        <v>6</v>
      </c>
      <c r="F4" s="4" t="n">
        <v>10</v>
      </c>
      <c r="G4" s="4" t="n">
        <v>8</v>
      </c>
      <c r="H4" s="4" t="n">
        <v>5</v>
      </c>
      <c r="I4" s="4" t="n">
        <v>7</v>
      </c>
      <c r="J4" s="4" t="n">
        <v>6</v>
      </c>
      <c r="K4" s="4" t="n">
        <v>7</v>
      </c>
      <c r="L4" s="8">
        <f>SUMPRODUCT(B4:K4,$B$2:$K$2)</f>
        <v/>
      </c>
    </row>
    <row r="5">
      <c r="A5" t="inlineStr">
        <is>
          <t>3. Inventory &amp; SKU Health Analytics for DTC/Amazon brands</t>
        </is>
      </c>
      <c r="B5" s="4" t="n">
        <v>8</v>
      </c>
      <c r="C5" s="4" t="n">
        <v>7</v>
      </c>
      <c r="D5" s="4" t="n">
        <v>9</v>
      </c>
      <c r="E5" s="4" t="n">
        <v>6</v>
      </c>
      <c r="F5" s="4" t="n">
        <v>8</v>
      </c>
      <c r="G5" s="4" t="n">
        <v>9</v>
      </c>
      <c r="H5" s="4" t="n">
        <v>7</v>
      </c>
      <c r="I5" s="4" t="n">
        <v>5</v>
      </c>
      <c r="J5" s="4" t="n">
        <v>6</v>
      </c>
      <c r="K5" s="4" t="n">
        <v>7</v>
      </c>
      <c r="L5" s="8">
        <f>SUMPRODUCT(B5:K5,$B$2:$K$2)</f>
        <v/>
      </c>
    </row>
    <row r="6">
      <c r="A6" t="inlineStr">
        <is>
          <t>4. Excel / Power Query reporting automation (productized gigs)</t>
        </is>
      </c>
      <c r="B6" s="4" t="n">
        <v>8</v>
      </c>
      <c r="C6" s="4" t="n">
        <v>6</v>
      </c>
      <c r="D6" s="4" t="n">
        <v>10</v>
      </c>
      <c r="E6" s="4" t="n">
        <v>9</v>
      </c>
      <c r="F6" s="4" t="n">
        <v>9</v>
      </c>
      <c r="G6" s="4" t="n">
        <v>8</v>
      </c>
      <c r="H6" s="4" t="n">
        <v>5</v>
      </c>
      <c r="I6" s="4" t="n">
        <v>3</v>
      </c>
      <c r="J6" s="4" t="n">
        <v>9</v>
      </c>
      <c r="K6" s="4" t="n">
        <v>5</v>
      </c>
      <c r="L6" s="8">
        <f>SUMPRODUCT(B6:K6,$B$2:$K$2)</f>
        <v/>
      </c>
    </row>
    <row r="7">
      <c r="A7" t="inlineStr">
        <is>
          <t>5. Power BI / Excel KPI template store (digital products)</t>
        </is>
      </c>
      <c r="B7" s="4" t="n">
        <v>6</v>
      </c>
      <c r="C7" s="4" t="n">
        <v>5</v>
      </c>
      <c r="D7" s="4" t="n">
        <v>9</v>
      </c>
      <c r="E7" s="4" t="n">
        <v>7</v>
      </c>
      <c r="F7" s="4" t="n">
        <v>9</v>
      </c>
      <c r="G7" s="4" t="n">
        <v>9</v>
      </c>
      <c r="H7" s="4" t="n">
        <v>9</v>
      </c>
      <c r="I7" s="4" t="n">
        <v>4</v>
      </c>
      <c r="J7" s="4" t="n">
        <v>5</v>
      </c>
      <c r="K7" s="4" t="n">
        <v>6</v>
      </c>
      <c r="L7" s="8">
        <f>SUMPRODUCT(B7:K7,$B$2:$K$2)</f>
        <v/>
      </c>
    </row>
    <row r="8">
      <c r="A8" t="inlineStr">
        <is>
          <t>6. OEE &amp; downtime micro-SaaS for small factories</t>
        </is>
      </c>
      <c r="B8" s="4" t="n">
        <v>6</v>
      </c>
      <c r="C8" s="4" t="n">
        <v>8</v>
      </c>
      <c r="D8" s="4" t="n">
        <v>6</v>
      </c>
      <c r="E8" s="4" t="n">
        <v>4</v>
      </c>
      <c r="F8" s="4" t="n">
        <v>8</v>
      </c>
      <c r="G8" s="4" t="n">
        <v>7</v>
      </c>
      <c r="H8" s="4" t="n">
        <v>9</v>
      </c>
      <c r="I8" s="4" t="n">
        <v>5</v>
      </c>
      <c r="J8" s="4" t="n">
        <v>3</v>
      </c>
      <c r="K8" s="4" t="n">
        <v>8</v>
      </c>
      <c r="L8" s="8">
        <f>SUMPRODUCT(B8:K8,$B$2:$K$2)</f>
        <v/>
      </c>
    </row>
    <row r="9">
      <c r="A9" t="inlineStr">
        <is>
          <t>7. Rough-cut capacity planner micro-SaaS for job shops</t>
        </is>
      </c>
      <c r="B9" s="4" t="n">
        <v>5</v>
      </c>
      <c r="C9" s="4" t="n">
        <v>8</v>
      </c>
      <c r="D9" s="4" t="n">
        <v>6</v>
      </c>
      <c r="E9" s="4" t="n">
        <v>3</v>
      </c>
      <c r="F9" s="4" t="n">
        <v>9</v>
      </c>
      <c r="G9" s="4" t="n">
        <v>7</v>
      </c>
      <c r="H9" s="4" t="n">
        <v>9</v>
      </c>
      <c r="I9" s="4" t="n">
        <v>6</v>
      </c>
      <c r="J9" s="4" t="n">
        <v>2</v>
      </c>
      <c r="K9" s="4" t="n">
        <v>7</v>
      </c>
      <c r="L9" s="8">
        <f>SUMPRODUCT(B9:K9,$B$2:$K$2)</f>
        <v/>
      </c>
    </row>
    <row r="10">
      <c r="A10" t="inlineStr">
        <is>
          <t>8. KPI / Balanced Scorecard office for GCC SMEs</t>
        </is>
      </c>
      <c r="B10" s="4" t="n">
        <v>7</v>
      </c>
      <c r="C10" s="4" t="n">
        <v>8</v>
      </c>
      <c r="D10" s="4" t="n">
        <v>10</v>
      </c>
      <c r="E10" s="4" t="n">
        <v>5</v>
      </c>
      <c r="F10" s="4" t="n">
        <v>10</v>
      </c>
      <c r="G10" s="4" t="n">
        <v>8</v>
      </c>
      <c r="H10" s="4" t="n">
        <v>4</v>
      </c>
      <c r="I10" s="4" t="n">
        <v>6</v>
      </c>
      <c r="J10" s="4" t="n">
        <v>5</v>
      </c>
      <c r="K10" s="4" t="n">
        <v>7</v>
      </c>
      <c r="L10" s="8">
        <f>SUMPRODUCT(B10:K10,$B$2:$K$2)</f>
        <v/>
      </c>
    </row>
    <row r="11">
      <c r="A11" t="inlineStr">
        <is>
          <t>9. AI document extraction for freight forwarders</t>
        </is>
      </c>
      <c r="B11" s="4" t="n">
        <v>8</v>
      </c>
      <c r="C11" s="4" t="n">
        <v>8</v>
      </c>
      <c r="D11" s="4" t="n">
        <v>9</v>
      </c>
      <c r="E11" s="4" t="n">
        <v>6</v>
      </c>
      <c r="F11" s="4" t="n">
        <v>6</v>
      </c>
      <c r="G11" s="4" t="n">
        <v>9</v>
      </c>
      <c r="H11" s="4" t="n">
        <v>7</v>
      </c>
      <c r="I11" s="4" t="n">
        <v>4</v>
      </c>
      <c r="J11" s="4" t="n">
        <v>6</v>
      </c>
      <c r="K11" s="4" t="n">
        <v>6</v>
      </c>
      <c r="L11" s="8">
        <f>SUMPRODUCT(B11:K11,$B$2:$K$2)</f>
        <v/>
      </c>
    </row>
    <row r="12">
      <c r="A12" t="inlineStr">
        <is>
          <t>10. ESG &amp; carbon data reporting for South-Asian textile exporters</t>
        </is>
      </c>
      <c r="B12" s="4" t="n">
        <v>7</v>
      </c>
      <c r="C12" s="4" t="n">
        <v>7</v>
      </c>
      <c r="D12" s="4" t="n">
        <v>9</v>
      </c>
      <c r="E12" s="4" t="n">
        <v>5</v>
      </c>
      <c r="F12" s="4" t="n">
        <v>7</v>
      </c>
      <c r="G12" s="4" t="n">
        <v>5</v>
      </c>
      <c r="H12" s="4" t="n">
        <v>6</v>
      </c>
      <c r="I12" s="4" t="n">
        <v>7</v>
      </c>
      <c r="J12" s="4" t="n">
        <v>4</v>
      </c>
      <c r="K12" s="4" t="n">
        <v>8</v>
      </c>
      <c r="L12" s="8">
        <f>SUMPRODUCT(B12:K12,$B$2:$K$2)</f>
        <v/>
      </c>
    </row>
    <row r="13">
      <c r="A13" t="inlineStr">
        <is>
          <t>11. Remote SAP PP / IBP functional support</t>
        </is>
      </c>
      <c r="B13" s="4" t="n">
        <v>7</v>
      </c>
      <c r="C13" s="4" t="n">
        <v>7</v>
      </c>
      <c r="D13" s="4" t="n">
        <v>10</v>
      </c>
      <c r="E13" s="4" t="n">
        <v>6</v>
      </c>
      <c r="F13" s="4" t="n">
        <v>8</v>
      </c>
      <c r="G13" s="4" t="n">
        <v>8</v>
      </c>
      <c r="H13" s="4" t="n">
        <v>3</v>
      </c>
      <c r="I13" s="4" t="n">
        <v>5</v>
      </c>
      <c r="J13" s="4" t="n">
        <v>6</v>
      </c>
      <c r="K13" s="4" t="n">
        <v>6</v>
      </c>
      <c r="L13" s="8">
        <f>SUMPRODUCT(B13:K13,$B$2:$K$2)</f>
        <v/>
      </c>
    </row>
    <row r="14">
      <c r="A14" t="inlineStr">
        <is>
          <t>12. White-label BI delivery for ERP partners &amp; BI agencies</t>
        </is>
      </c>
      <c r="B14" s="4" t="n">
        <v>8</v>
      </c>
      <c r="C14" s="4" t="n">
        <v>6</v>
      </c>
      <c r="D14" s="4" t="n">
        <v>10</v>
      </c>
      <c r="E14" s="4" t="n">
        <v>6</v>
      </c>
      <c r="F14" s="4" t="n">
        <v>9</v>
      </c>
      <c r="G14" s="4" t="n">
        <v>9</v>
      </c>
      <c r="H14" s="4" t="n">
        <v>6</v>
      </c>
      <c r="I14" s="4" t="n">
        <v>6</v>
      </c>
      <c r="J14" s="4" t="n">
        <v>6</v>
      </c>
      <c r="K14" s="4" t="n">
        <v>6</v>
      </c>
      <c r="L14" s="8">
        <f>SUMPRODUCT(B14:K14,$B$2:$K$2)</f>
        <v/>
      </c>
    </row>
    <row r="15">
      <c r="A15" t="inlineStr">
        <is>
          <t>13. AI-assisted market &amp; competitor research reports</t>
        </is>
      </c>
      <c r="B15" s="4" t="n">
        <v>5</v>
      </c>
      <c r="C15" s="4" t="n">
        <v>5</v>
      </c>
      <c r="D15" s="4" t="n">
        <v>10</v>
      </c>
      <c r="E15" s="4" t="n">
        <v>7</v>
      </c>
      <c r="F15" s="4" t="n">
        <v>8</v>
      </c>
      <c r="G15" s="4" t="n">
        <v>8</v>
      </c>
      <c r="H15" s="4" t="n">
        <v>4</v>
      </c>
      <c r="I15" s="4" t="n">
        <v>3</v>
      </c>
      <c r="J15" s="4" t="n">
        <v>7</v>
      </c>
      <c r="K15" s="4" t="n">
        <v>3</v>
      </c>
      <c r="L15" s="8">
        <f>SUMPRODUCT(B15:K15,$B$2:$K$2)</f>
        <v/>
      </c>
    </row>
    <row r="16">
      <c r="A16" t="inlineStr">
        <is>
          <t>14. Cohort course: Power BI for Supply Chain Planners</t>
        </is>
      </c>
      <c r="B16" s="4" t="n">
        <v>6</v>
      </c>
      <c r="C16" s="4" t="n">
        <v>8</v>
      </c>
      <c r="D16" s="4" t="n">
        <v>9</v>
      </c>
      <c r="E16" s="4" t="n">
        <v>5</v>
      </c>
      <c r="F16" s="4" t="n">
        <v>9</v>
      </c>
      <c r="G16" s="4" t="n">
        <v>8</v>
      </c>
      <c r="H16" s="4" t="n">
        <v>8</v>
      </c>
      <c r="I16" s="4" t="n">
        <v>5</v>
      </c>
      <c r="J16" s="4" t="n">
        <v>4</v>
      </c>
      <c r="K16" s="4" t="n">
        <v>7</v>
      </c>
      <c r="L16" s="8">
        <f>SUMPRODUCT(B16:K16,$B$2:$K$2)</f>
        <v/>
      </c>
    </row>
    <row r="17">
      <c r="A17" t="inlineStr">
        <is>
          <t>15. AI order-entry automation for distributors (email PO -&gt; ERP)</t>
        </is>
      </c>
      <c r="B17" s="4" t="n">
        <v>8</v>
      </c>
      <c r="C17" s="4" t="n">
        <v>8</v>
      </c>
      <c r="D17" s="4" t="n">
        <v>9</v>
      </c>
      <c r="E17" s="4" t="n">
        <v>5</v>
      </c>
      <c r="F17" s="4" t="n">
        <v>7</v>
      </c>
      <c r="G17" s="4" t="n">
        <v>9</v>
      </c>
      <c r="H17" s="4" t="n">
        <v>7</v>
      </c>
      <c r="I17" s="4" t="n">
        <v>5</v>
      </c>
      <c r="J17" s="4" t="n">
        <v>5</v>
      </c>
      <c r="K17" s="4" t="n">
        <v>7</v>
      </c>
      <c r="L17" s="8">
        <f>SUMPRODUCT(B17:K17,$B$2:$K$2)</f>
        <v/>
      </c>
    </row>
    <row r="18">
      <c r="A18" t="inlineStr">
        <is>
          <t>16. Amazon/Shopify SKU profitability dashboards</t>
        </is>
      </c>
      <c r="B18" s="4" t="n">
        <v>7</v>
      </c>
      <c r="C18" s="4" t="n">
        <v>6</v>
      </c>
      <c r="D18" s="4" t="n">
        <v>9</v>
      </c>
      <c r="E18" s="4" t="n">
        <v>6</v>
      </c>
      <c r="F18" s="4" t="n">
        <v>7</v>
      </c>
      <c r="G18" s="4" t="n">
        <v>9</v>
      </c>
      <c r="H18" s="4" t="n">
        <v>6</v>
      </c>
      <c r="I18" s="4" t="n">
        <v>3</v>
      </c>
      <c r="J18" s="4" t="n">
        <v>6</v>
      </c>
      <c r="K18" s="4" t="n">
        <v>5</v>
      </c>
      <c r="L18" s="8">
        <f>SUMPRODUCT(B18:K18,$B$2:$K$2)</f>
        <v/>
      </c>
    </row>
    <row r="19">
      <c r="A19" t="inlineStr">
        <is>
          <t>17. S/4HANA migration master-data readiness (subcontract to SIs)</t>
        </is>
      </c>
      <c r="B19" s="4" t="n">
        <v>8</v>
      </c>
      <c r="C19" s="4" t="n">
        <v>8</v>
      </c>
      <c r="D19" s="4" t="n">
        <v>10</v>
      </c>
      <c r="E19" s="4" t="n">
        <v>4</v>
      </c>
      <c r="F19" s="4" t="n">
        <v>9</v>
      </c>
      <c r="G19" s="4" t="n">
        <v>8</v>
      </c>
      <c r="H19" s="4" t="n">
        <v>5</v>
      </c>
      <c r="I19" s="4" t="n">
        <v>6</v>
      </c>
      <c r="J19" s="4" t="n">
        <v>4</v>
      </c>
      <c r="K19" s="4" t="n">
        <v>7</v>
      </c>
      <c r="L19" s="8">
        <f>SUMPRODUCT(B19:K19,$B$2:$K$2)</f>
        <v/>
      </c>
    </row>
    <row r="20">
      <c r="A20" t="inlineStr">
        <is>
          <t>18. Pakistan sourcing intelligence for foreign buyers</t>
        </is>
      </c>
      <c r="B20" s="4" t="n">
        <v>5</v>
      </c>
      <c r="C20" s="4" t="n">
        <v>6</v>
      </c>
      <c r="D20" s="4" t="n">
        <v>8</v>
      </c>
      <c r="E20" s="4" t="n">
        <v>4</v>
      </c>
      <c r="F20" s="4" t="n">
        <v>5</v>
      </c>
      <c r="G20" s="4" t="n">
        <v>8</v>
      </c>
      <c r="H20" s="4" t="n">
        <v>4</v>
      </c>
      <c r="I20" s="4" t="n">
        <v>7</v>
      </c>
      <c r="J20" s="4" t="n">
        <v>4</v>
      </c>
      <c r="K20" s="4" t="n">
        <v>5</v>
      </c>
      <c r="L20" s="8">
        <f>SUMPRODUCT(B20:K20,$B$2:$K$2)</f>
        <v/>
      </c>
    </row>
    <row r="21">
      <c r="A21" t="inlineStr">
        <is>
          <t>19. Remote supply-chain analytics talent marketplace</t>
        </is>
      </c>
      <c r="B21" s="4" t="n">
        <v>5</v>
      </c>
      <c r="C21" s="4" t="n">
        <v>7</v>
      </c>
      <c r="D21" s="4" t="n">
        <v>7</v>
      </c>
      <c r="E21" s="4" t="n">
        <v>3</v>
      </c>
      <c r="F21" s="4" t="n">
        <v>6</v>
      </c>
      <c r="G21" s="4" t="n">
        <v>8</v>
      </c>
      <c r="H21" s="4" t="n">
        <v>8</v>
      </c>
      <c r="I21" s="4" t="n">
        <v>6</v>
      </c>
      <c r="J21" s="4" t="n">
        <v>2</v>
      </c>
      <c r="K21" s="4" t="n">
        <v>7</v>
      </c>
      <c r="L21" s="8">
        <f>SUMPRODUCT(B21:K21,$B$2:$K$2)</f>
        <v/>
      </c>
    </row>
    <row r="22">
      <c r="A22" t="inlineStr">
        <is>
          <t>20. Spreadsheet MRP/BOM toolkit for small makers</t>
        </is>
      </c>
      <c r="B22" s="4" t="n">
        <v>6</v>
      </c>
      <c r="C22" s="4" t="n">
        <v>5</v>
      </c>
      <c r="D22" s="4" t="n">
        <v>9</v>
      </c>
      <c r="E22" s="4" t="n">
        <v>7</v>
      </c>
      <c r="F22" s="4" t="n">
        <v>8</v>
      </c>
      <c r="G22" s="4" t="n">
        <v>9</v>
      </c>
      <c r="H22" s="4" t="n">
        <v>8</v>
      </c>
      <c r="I22" s="4" t="n">
        <v>4</v>
      </c>
      <c r="J22" s="4" t="n">
        <v>6</v>
      </c>
      <c r="K22" s="4" t="n">
        <v>5</v>
      </c>
      <c r="L22" s="8">
        <f>SUMPRODUCT(B22:K22,$B$2:$K$2)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6" customWidth="1" min="4" max="4"/>
    <col width="12" customWidth="1" min="5" max="5"/>
    <col width="12" customWidth="1" min="6" max="6"/>
    <col width="18" customWidth="1" min="7" max="7"/>
    <col width="18" customWidth="1" min="8" max="8"/>
    <col width="28" customWidth="1" min="9" max="9"/>
    <col width="26" customWidth="1" min="10" max="10"/>
    <col width="12" customWidth="1" min="11" max="11"/>
    <col width="30" customWidth="1" min="12" max="12"/>
    <col width="16" customWidth="1" min="13" max="13"/>
    <col width="12" customWidth="1" min="14" max="14"/>
    <col width="12" customWidth="1" min="15" max="15"/>
    <col width="26" customWidth="1" min="16" max="16"/>
    <col width="12" customWidth="1" min="17" max="17"/>
    <col width="8" customWidth="1" min="18" max="18"/>
    <col width="12" customWidth="1" min="19" max="19"/>
    <col width="10" customWidth="1" min="20" max="20"/>
    <col width="12" customWidth="1" min="21" max="21"/>
    <col width="30" customWidth="1" min="22" max="22"/>
  </cols>
  <sheetData>
    <row r="1">
      <c r="A1" s="1" t="inlineStr">
        <is>
          <t>Lead ID</t>
        </is>
      </c>
      <c r="B1" s="1" t="inlineStr">
        <is>
          <t>Company</t>
        </is>
      </c>
      <c r="C1" s="1" t="inlineStr">
        <is>
          <t>Country</t>
        </is>
      </c>
      <c r="D1" s="1" t="inlineStr">
        <is>
          <t>Industry</t>
        </is>
      </c>
      <c r="E1" s="1" t="inlineStr">
        <is>
          <t>Revenue band</t>
        </is>
      </c>
      <c r="F1" s="1" t="inlineStr">
        <is>
          <t>ERP</t>
        </is>
      </c>
      <c r="G1" s="1" t="inlineStr">
        <is>
          <t>Contact name</t>
        </is>
      </c>
      <c r="H1" s="1" t="inlineStr">
        <is>
          <t>Title</t>
        </is>
      </c>
      <c r="I1" s="1" t="inlineStr">
        <is>
          <t>LinkedIn URL</t>
        </is>
      </c>
      <c r="J1" s="1" t="inlineStr">
        <is>
          <t>Email</t>
        </is>
      </c>
      <c r="K1" s="1" t="inlineStr">
        <is>
          <t>Source</t>
        </is>
      </c>
      <c r="L1" s="1" t="inlineStr">
        <is>
          <t>Trigger / hook</t>
        </is>
      </c>
      <c r="M1" s="1" t="inlineStr">
        <is>
          <t>Stage</t>
        </is>
      </c>
      <c r="N1" s="1" t="inlineStr">
        <is>
          <t>First touch date</t>
        </is>
      </c>
      <c r="O1" s="1" t="inlineStr">
        <is>
          <t>Last touch date</t>
        </is>
      </c>
      <c r="P1" s="1" t="inlineStr">
        <is>
          <t>Next action</t>
        </is>
      </c>
      <c r="Q1" s="1" t="inlineStr">
        <is>
          <t>Next action date</t>
        </is>
      </c>
      <c r="R1" s="1" t="inlineStr">
        <is>
          <t>Touches</t>
        </is>
      </c>
      <c r="S1" s="1" t="inlineStr">
        <is>
          <t>Deal value USD</t>
        </is>
      </c>
      <c r="T1" s="1" t="inlineStr">
        <is>
          <t>Probability</t>
        </is>
      </c>
      <c r="U1" s="1" t="inlineStr">
        <is>
          <t>Weighted USD</t>
        </is>
      </c>
      <c r="V1" s="1" t="inlineStr">
        <is>
          <t>Notes</t>
        </is>
      </c>
    </row>
    <row r="2">
      <c r="A2" t="inlineStr">
        <is>
          <t>L001</t>
        </is>
      </c>
      <c r="B2" t="inlineStr">
        <is>
          <t>(example) Acme Fasteners Ltd</t>
        </is>
      </c>
      <c r="M2" t="inlineStr">
        <is>
          <t>2-Contacted</t>
        </is>
      </c>
      <c r="S2" t="n">
        <v>1200</v>
      </c>
      <c r="T2" s="9">
        <f>IFERROR(VLOOKUP(M2,Lists!$A$1:$B$8,2,FALSE),"")</f>
        <v/>
      </c>
      <c r="U2" s="6">
        <f>IFERROR(S2*T2,"")</f>
        <v/>
      </c>
    </row>
    <row r="3">
      <c r="T3" s="9">
        <f>IFERROR(VLOOKUP(M3,Lists!$A$1:$B$8,2,FALSE),"")</f>
        <v/>
      </c>
      <c r="U3" s="6">
        <f>IFERROR(S3*T3,"")</f>
        <v/>
      </c>
    </row>
    <row r="4">
      <c r="T4" s="9">
        <f>IFERROR(VLOOKUP(M4,Lists!$A$1:$B$8,2,FALSE),"")</f>
        <v/>
      </c>
      <c r="U4" s="6">
        <f>IFERROR(S4*T4,"")</f>
        <v/>
      </c>
    </row>
    <row r="5">
      <c r="T5" s="9">
        <f>IFERROR(VLOOKUP(M5,Lists!$A$1:$B$8,2,FALSE),"")</f>
        <v/>
      </c>
      <c r="U5" s="6">
        <f>IFERROR(S5*T5,"")</f>
        <v/>
      </c>
    </row>
    <row r="6">
      <c r="T6" s="9">
        <f>IFERROR(VLOOKUP(M6,Lists!$A$1:$B$8,2,FALSE),"")</f>
        <v/>
      </c>
      <c r="U6" s="6">
        <f>IFERROR(S6*T6,"")</f>
        <v/>
      </c>
    </row>
    <row r="7">
      <c r="T7" s="9">
        <f>IFERROR(VLOOKUP(M7,Lists!$A$1:$B$8,2,FALSE),"")</f>
        <v/>
      </c>
      <c r="U7" s="6">
        <f>IFERROR(S7*T7,"")</f>
        <v/>
      </c>
    </row>
    <row r="8">
      <c r="T8" s="9">
        <f>IFERROR(VLOOKUP(M8,Lists!$A$1:$B$8,2,FALSE),"")</f>
        <v/>
      </c>
      <c r="U8" s="6">
        <f>IFERROR(S8*T8,"")</f>
        <v/>
      </c>
    </row>
    <row r="9">
      <c r="T9" s="9">
        <f>IFERROR(VLOOKUP(M9,Lists!$A$1:$B$8,2,FALSE),"")</f>
        <v/>
      </c>
      <c r="U9" s="6">
        <f>IFERROR(S9*T9,"")</f>
        <v/>
      </c>
    </row>
    <row r="10">
      <c r="T10" s="9">
        <f>IFERROR(VLOOKUP(M10,Lists!$A$1:$B$8,2,FALSE),"")</f>
        <v/>
      </c>
      <c r="U10" s="6">
        <f>IFERROR(S10*T10,"")</f>
        <v/>
      </c>
    </row>
    <row r="11">
      <c r="T11" s="9">
        <f>IFERROR(VLOOKUP(M11,Lists!$A$1:$B$8,2,FALSE),"")</f>
        <v/>
      </c>
      <c r="U11" s="6">
        <f>IFERROR(S11*T11,"")</f>
        <v/>
      </c>
    </row>
    <row r="12">
      <c r="T12" s="9">
        <f>IFERROR(VLOOKUP(M12,Lists!$A$1:$B$8,2,FALSE),"")</f>
        <v/>
      </c>
      <c r="U12" s="6">
        <f>IFERROR(S12*T12,"")</f>
        <v/>
      </c>
    </row>
    <row r="13">
      <c r="T13" s="9">
        <f>IFERROR(VLOOKUP(M13,Lists!$A$1:$B$8,2,FALSE),"")</f>
        <v/>
      </c>
      <c r="U13" s="6">
        <f>IFERROR(S13*T13,"")</f>
        <v/>
      </c>
    </row>
    <row r="14">
      <c r="T14" s="9">
        <f>IFERROR(VLOOKUP(M14,Lists!$A$1:$B$8,2,FALSE),"")</f>
        <v/>
      </c>
      <c r="U14" s="6">
        <f>IFERROR(S14*T14,"")</f>
        <v/>
      </c>
    </row>
    <row r="15">
      <c r="T15" s="9">
        <f>IFERROR(VLOOKUP(M15,Lists!$A$1:$B$8,2,FALSE),"")</f>
        <v/>
      </c>
      <c r="U15" s="6">
        <f>IFERROR(S15*T15,"")</f>
        <v/>
      </c>
    </row>
    <row r="16">
      <c r="T16" s="9">
        <f>IFERROR(VLOOKUP(M16,Lists!$A$1:$B$8,2,FALSE),"")</f>
        <v/>
      </c>
      <c r="U16" s="6">
        <f>IFERROR(S16*T16,"")</f>
        <v/>
      </c>
    </row>
    <row r="17">
      <c r="T17" s="9">
        <f>IFERROR(VLOOKUP(M17,Lists!$A$1:$B$8,2,FALSE),"")</f>
        <v/>
      </c>
      <c r="U17" s="6">
        <f>IFERROR(S17*T17,"")</f>
        <v/>
      </c>
    </row>
    <row r="18">
      <c r="T18" s="9">
        <f>IFERROR(VLOOKUP(M18,Lists!$A$1:$B$8,2,FALSE),"")</f>
        <v/>
      </c>
      <c r="U18" s="6">
        <f>IFERROR(S18*T18,"")</f>
        <v/>
      </c>
    </row>
    <row r="19">
      <c r="T19" s="9">
        <f>IFERROR(VLOOKUP(M19,Lists!$A$1:$B$8,2,FALSE),"")</f>
        <v/>
      </c>
      <c r="U19" s="6">
        <f>IFERROR(S19*T19,"")</f>
        <v/>
      </c>
    </row>
    <row r="20">
      <c r="T20" s="9">
        <f>IFERROR(VLOOKUP(M20,Lists!$A$1:$B$8,2,FALSE),"")</f>
        <v/>
      </c>
      <c r="U20" s="6">
        <f>IFERROR(S20*T20,"")</f>
        <v/>
      </c>
    </row>
    <row r="21">
      <c r="T21" s="9">
        <f>IFERROR(VLOOKUP(M21,Lists!$A$1:$B$8,2,FALSE),"")</f>
        <v/>
      </c>
      <c r="U21" s="6">
        <f>IFERROR(S21*T21,"")</f>
        <v/>
      </c>
    </row>
    <row r="22">
      <c r="T22" s="9">
        <f>IFERROR(VLOOKUP(M22,Lists!$A$1:$B$8,2,FALSE),"")</f>
        <v/>
      </c>
      <c r="U22" s="6">
        <f>IFERROR(S22*T22,"")</f>
        <v/>
      </c>
    </row>
    <row r="23">
      <c r="T23" s="9">
        <f>IFERROR(VLOOKUP(M23,Lists!$A$1:$B$8,2,FALSE),"")</f>
        <v/>
      </c>
      <c r="U23" s="6">
        <f>IFERROR(S23*T23,"")</f>
        <v/>
      </c>
    </row>
    <row r="24">
      <c r="T24" s="9">
        <f>IFERROR(VLOOKUP(M24,Lists!$A$1:$B$8,2,FALSE),"")</f>
        <v/>
      </c>
      <c r="U24" s="6">
        <f>IFERROR(S24*T24,"")</f>
        <v/>
      </c>
    </row>
    <row r="25">
      <c r="T25" s="9">
        <f>IFERROR(VLOOKUP(M25,Lists!$A$1:$B$8,2,FALSE),"")</f>
        <v/>
      </c>
      <c r="U25" s="6">
        <f>IFERROR(S25*T25,"")</f>
        <v/>
      </c>
    </row>
    <row r="26">
      <c r="T26" s="9">
        <f>IFERROR(VLOOKUP(M26,Lists!$A$1:$B$8,2,FALSE),"")</f>
        <v/>
      </c>
      <c r="U26" s="6">
        <f>IFERROR(S26*T26,"")</f>
        <v/>
      </c>
    </row>
    <row r="27">
      <c r="T27" s="9">
        <f>IFERROR(VLOOKUP(M27,Lists!$A$1:$B$8,2,FALSE),"")</f>
        <v/>
      </c>
      <c r="U27" s="6">
        <f>IFERROR(S27*T27,"")</f>
        <v/>
      </c>
    </row>
    <row r="28">
      <c r="T28" s="9">
        <f>IFERROR(VLOOKUP(M28,Lists!$A$1:$B$8,2,FALSE),"")</f>
        <v/>
      </c>
      <c r="U28" s="6">
        <f>IFERROR(S28*T28,"")</f>
        <v/>
      </c>
    </row>
    <row r="29">
      <c r="T29" s="9">
        <f>IFERROR(VLOOKUP(M29,Lists!$A$1:$B$8,2,FALSE),"")</f>
        <v/>
      </c>
      <c r="U29" s="6">
        <f>IFERROR(S29*T29,"")</f>
        <v/>
      </c>
    </row>
    <row r="30">
      <c r="T30" s="9">
        <f>IFERROR(VLOOKUP(M30,Lists!$A$1:$B$8,2,FALSE),"")</f>
        <v/>
      </c>
      <c r="U30" s="6">
        <f>IFERROR(S30*T30,"")</f>
        <v/>
      </c>
    </row>
    <row r="31">
      <c r="T31" s="9">
        <f>IFERROR(VLOOKUP(M31,Lists!$A$1:$B$8,2,FALSE),"")</f>
        <v/>
      </c>
      <c r="U31" s="6">
        <f>IFERROR(S31*T31,"")</f>
        <v/>
      </c>
    </row>
    <row r="32">
      <c r="T32" s="9">
        <f>IFERROR(VLOOKUP(M32,Lists!$A$1:$B$8,2,FALSE),"")</f>
        <v/>
      </c>
      <c r="U32" s="6">
        <f>IFERROR(S32*T32,"")</f>
        <v/>
      </c>
    </row>
    <row r="33">
      <c r="T33" s="9">
        <f>IFERROR(VLOOKUP(M33,Lists!$A$1:$B$8,2,FALSE),"")</f>
        <v/>
      </c>
      <c r="U33" s="6">
        <f>IFERROR(S33*T33,"")</f>
        <v/>
      </c>
    </row>
    <row r="34">
      <c r="T34" s="9">
        <f>IFERROR(VLOOKUP(M34,Lists!$A$1:$B$8,2,FALSE),"")</f>
        <v/>
      </c>
      <c r="U34" s="6">
        <f>IFERROR(S34*T34,"")</f>
        <v/>
      </c>
    </row>
    <row r="35">
      <c r="T35" s="9">
        <f>IFERROR(VLOOKUP(M35,Lists!$A$1:$B$8,2,FALSE),"")</f>
        <v/>
      </c>
      <c r="U35" s="6">
        <f>IFERROR(S35*T35,"")</f>
        <v/>
      </c>
    </row>
    <row r="36">
      <c r="T36" s="9">
        <f>IFERROR(VLOOKUP(M36,Lists!$A$1:$B$8,2,FALSE),"")</f>
        <v/>
      </c>
      <c r="U36" s="6">
        <f>IFERROR(S36*T36,"")</f>
        <v/>
      </c>
    </row>
    <row r="37">
      <c r="T37" s="9">
        <f>IFERROR(VLOOKUP(M37,Lists!$A$1:$B$8,2,FALSE),"")</f>
        <v/>
      </c>
      <c r="U37" s="6">
        <f>IFERROR(S37*T37,"")</f>
        <v/>
      </c>
    </row>
    <row r="38">
      <c r="T38" s="9">
        <f>IFERROR(VLOOKUP(M38,Lists!$A$1:$B$8,2,FALSE),"")</f>
        <v/>
      </c>
      <c r="U38" s="6">
        <f>IFERROR(S38*T38,"")</f>
        <v/>
      </c>
    </row>
    <row r="39">
      <c r="T39" s="9">
        <f>IFERROR(VLOOKUP(M39,Lists!$A$1:$B$8,2,FALSE),"")</f>
        <v/>
      </c>
      <c r="U39" s="6">
        <f>IFERROR(S39*T39,"")</f>
        <v/>
      </c>
    </row>
    <row r="40">
      <c r="T40" s="9">
        <f>IFERROR(VLOOKUP(M40,Lists!$A$1:$B$8,2,FALSE),"")</f>
        <v/>
      </c>
      <c r="U40" s="6">
        <f>IFERROR(S40*T40,"")</f>
        <v/>
      </c>
    </row>
    <row r="41">
      <c r="T41" s="9">
        <f>IFERROR(VLOOKUP(M41,Lists!$A$1:$B$8,2,FALSE),"")</f>
        <v/>
      </c>
      <c r="U41" s="6">
        <f>IFERROR(S41*T41,"")</f>
        <v/>
      </c>
    </row>
    <row r="42">
      <c r="T42" s="9">
        <f>IFERROR(VLOOKUP(M42,Lists!$A$1:$B$8,2,FALSE),"")</f>
        <v/>
      </c>
      <c r="U42" s="6">
        <f>IFERROR(S42*T42,"")</f>
        <v/>
      </c>
    </row>
    <row r="43">
      <c r="T43" s="9">
        <f>IFERROR(VLOOKUP(M43,Lists!$A$1:$B$8,2,FALSE),"")</f>
        <v/>
      </c>
      <c r="U43" s="6">
        <f>IFERROR(S43*T43,"")</f>
        <v/>
      </c>
    </row>
    <row r="44">
      <c r="T44" s="9">
        <f>IFERROR(VLOOKUP(M44,Lists!$A$1:$B$8,2,FALSE),"")</f>
        <v/>
      </c>
      <c r="U44" s="6">
        <f>IFERROR(S44*T44,"")</f>
        <v/>
      </c>
    </row>
    <row r="45">
      <c r="T45" s="9">
        <f>IFERROR(VLOOKUP(M45,Lists!$A$1:$B$8,2,FALSE),"")</f>
        <v/>
      </c>
      <c r="U45" s="6">
        <f>IFERROR(S45*T45,"")</f>
        <v/>
      </c>
    </row>
    <row r="46">
      <c r="T46" s="9">
        <f>IFERROR(VLOOKUP(M46,Lists!$A$1:$B$8,2,FALSE),"")</f>
        <v/>
      </c>
      <c r="U46" s="6">
        <f>IFERROR(S46*T46,"")</f>
        <v/>
      </c>
    </row>
    <row r="47">
      <c r="T47" s="9">
        <f>IFERROR(VLOOKUP(M47,Lists!$A$1:$B$8,2,FALSE),"")</f>
        <v/>
      </c>
      <c r="U47" s="6">
        <f>IFERROR(S47*T47,"")</f>
        <v/>
      </c>
    </row>
    <row r="48">
      <c r="T48" s="9">
        <f>IFERROR(VLOOKUP(M48,Lists!$A$1:$B$8,2,FALSE),"")</f>
        <v/>
      </c>
      <c r="U48" s="6">
        <f>IFERROR(S48*T48,"")</f>
        <v/>
      </c>
    </row>
    <row r="49">
      <c r="T49" s="9">
        <f>IFERROR(VLOOKUP(M49,Lists!$A$1:$B$8,2,FALSE),"")</f>
        <v/>
      </c>
      <c r="U49" s="6">
        <f>IFERROR(S49*T49,"")</f>
        <v/>
      </c>
    </row>
    <row r="50">
      <c r="T50" s="9">
        <f>IFERROR(VLOOKUP(M50,Lists!$A$1:$B$8,2,FALSE),"")</f>
        <v/>
      </c>
      <c r="U50" s="6">
        <f>IFERROR(S50*T50,"")</f>
        <v/>
      </c>
    </row>
    <row r="51">
      <c r="T51" s="9">
        <f>IFERROR(VLOOKUP(M51,Lists!$A$1:$B$8,2,FALSE),"")</f>
        <v/>
      </c>
      <c r="U51" s="6">
        <f>IFERROR(S51*T51,"")</f>
        <v/>
      </c>
    </row>
    <row r="52">
      <c r="T52" s="9">
        <f>IFERROR(VLOOKUP(M52,Lists!$A$1:$B$8,2,FALSE),"")</f>
        <v/>
      </c>
      <c r="U52" s="6">
        <f>IFERROR(S52*T52,"")</f>
        <v/>
      </c>
    </row>
    <row r="53">
      <c r="T53" s="9">
        <f>IFERROR(VLOOKUP(M53,Lists!$A$1:$B$8,2,FALSE),"")</f>
        <v/>
      </c>
      <c r="U53" s="6">
        <f>IFERROR(S53*T53,"")</f>
        <v/>
      </c>
    </row>
    <row r="54">
      <c r="T54" s="9">
        <f>IFERROR(VLOOKUP(M54,Lists!$A$1:$B$8,2,FALSE),"")</f>
        <v/>
      </c>
      <c r="U54" s="6">
        <f>IFERROR(S54*T54,"")</f>
        <v/>
      </c>
    </row>
    <row r="55">
      <c r="T55" s="9">
        <f>IFERROR(VLOOKUP(M55,Lists!$A$1:$B$8,2,FALSE),"")</f>
        <v/>
      </c>
      <c r="U55" s="6">
        <f>IFERROR(S55*T55,"")</f>
        <v/>
      </c>
    </row>
    <row r="56">
      <c r="T56" s="9">
        <f>IFERROR(VLOOKUP(M56,Lists!$A$1:$B$8,2,FALSE),"")</f>
        <v/>
      </c>
      <c r="U56" s="6">
        <f>IFERROR(S56*T56,"")</f>
        <v/>
      </c>
    </row>
    <row r="57">
      <c r="T57" s="9">
        <f>IFERROR(VLOOKUP(M57,Lists!$A$1:$B$8,2,FALSE),"")</f>
        <v/>
      </c>
      <c r="U57" s="6">
        <f>IFERROR(S57*T57,"")</f>
        <v/>
      </c>
    </row>
    <row r="58">
      <c r="T58" s="9">
        <f>IFERROR(VLOOKUP(M58,Lists!$A$1:$B$8,2,FALSE),"")</f>
        <v/>
      </c>
      <c r="U58" s="6">
        <f>IFERROR(S58*T58,"")</f>
        <v/>
      </c>
    </row>
    <row r="59">
      <c r="T59" s="9">
        <f>IFERROR(VLOOKUP(M59,Lists!$A$1:$B$8,2,FALSE),"")</f>
        <v/>
      </c>
      <c r="U59" s="6">
        <f>IFERROR(S59*T59,"")</f>
        <v/>
      </c>
    </row>
    <row r="60">
      <c r="T60" s="9">
        <f>IFERROR(VLOOKUP(M60,Lists!$A$1:$B$8,2,FALSE),"")</f>
        <v/>
      </c>
      <c r="U60" s="6">
        <f>IFERROR(S60*T60,"")</f>
        <v/>
      </c>
    </row>
    <row r="61">
      <c r="T61" s="9">
        <f>IFERROR(VLOOKUP(M61,Lists!$A$1:$B$8,2,FALSE),"")</f>
        <v/>
      </c>
      <c r="U61" s="6">
        <f>IFERROR(S61*T61,"")</f>
        <v/>
      </c>
    </row>
    <row r="62">
      <c r="T62" s="9">
        <f>IFERROR(VLOOKUP(M62,Lists!$A$1:$B$8,2,FALSE),"")</f>
        <v/>
      </c>
      <c r="U62" s="6">
        <f>IFERROR(S62*T62,"")</f>
        <v/>
      </c>
    </row>
    <row r="63">
      <c r="T63" s="9">
        <f>IFERROR(VLOOKUP(M63,Lists!$A$1:$B$8,2,FALSE),"")</f>
        <v/>
      </c>
      <c r="U63" s="6">
        <f>IFERROR(S63*T63,"")</f>
        <v/>
      </c>
    </row>
    <row r="64">
      <c r="T64" s="9">
        <f>IFERROR(VLOOKUP(M64,Lists!$A$1:$B$8,2,FALSE),"")</f>
        <v/>
      </c>
      <c r="U64" s="6">
        <f>IFERROR(S64*T64,"")</f>
        <v/>
      </c>
    </row>
    <row r="65">
      <c r="T65" s="9">
        <f>IFERROR(VLOOKUP(M65,Lists!$A$1:$B$8,2,FALSE),"")</f>
        <v/>
      </c>
      <c r="U65" s="6">
        <f>IFERROR(S65*T65,"")</f>
        <v/>
      </c>
    </row>
    <row r="66">
      <c r="T66" s="9">
        <f>IFERROR(VLOOKUP(M66,Lists!$A$1:$B$8,2,FALSE),"")</f>
        <v/>
      </c>
      <c r="U66" s="6">
        <f>IFERROR(S66*T66,"")</f>
        <v/>
      </c>
    </row>
    <row r="67">
      <c r="T67" s="9">
        <f>IFERROR(VLOOKUP(M67,Lists!$A$1:$B$8,2,FALSE),"")</f>
        <v/>
      </c>
      <c r="U67" s="6">
        <f>IFERROR(S67*T67,"")</f>
        <v/>
      </c>
    </row>
    <row r="68">
      <c r="T68" s="9">
        <f>IFERROR(VLOOKUP(M68,Lists!$A$1:$B$8,2,FALSE),"")</f>
        <v/>
      </c>
      <c r="U68" s="6">
        <f>IFERROR(S68*T68,"")</f>
        <v/>
      </c>
    </row>
    <row r="69">
      <c r="T69" s="9">
        <f>IFERROR(VLOOKUP(M69,Lists!$A$1:$B$8,2,FALSE),"")</f>
        <v/>
      </c>
      <c r="U69" s="6">
        <f>IFERROR(S69*T69,"")</f>
        <v/>
      </c>
    </row>
    <row r="70">
      <c r="T70" s="9">
        <f>IFERROR(VLOOKUP(M70,Lists!$A$1:$B$8,2,FALSE),"")</f>
        <v/>
      </c>
      <c r="U70" s="6">
        <f>IFERROR(S70*T70,"")</f>
        <v/>
      </c>
    </row>
    <row r="71">
      <c r="T71" s="9">
        <f>IFERROR(VLOOKUP(M71,Lists!$A$1:$B$8,2,FALSE),"")</f>
        <v/>
      </c>
      <c r="U71" s="6">
        <f>IFERROR(S71*T71,"")</f>
        <v/>
      </c>
    </row>
    <row r="72">
      <c r="T72" s="9">
        <f>IFERROR(VLOOKUP(M72,Lists!$A$1:$B$8,2,FALSE),"")</f>
        <v/>
      </c>
      <c r="U72" s="6">
        <f>IFERROR(S72*T72,"")</f>
        <v/>
      </c>
    </row>
    <row r="73">
      <c r="T73" s="9">
        <f>IFERROR(VLOOKUP(M73,Lists!$A$1:$B$8,2,FALSE),"")</f>
        <v/>
      </c>
      <c r="U73" s="6">
        <f>IFERROR(S73*T73,"")</f>
        <v/>
      </c>
    </row>
    <row r="74">
      <c r="T74" s="9">
        <f>IFERROR(VLOOKUP(M74,Lists!$A$1:$B$8,2,FALSE),"")</f>
        <v/>
      </c>
      <c r="U74" s="6">
        <f>IFERROR(S74*T74,"")</f>
        <v/>
      </c>
    </row>
    <row r="75">
      <c r="T75" s="9">
        <f>IFERROR(VLOOKUP(M75,Lists!$A$1:$B$8,2,FALSE),"")</f>
        <v/>
      </c>
      <c r="U75" s="6">
        <f>IFERROR(S75*T75,"")</f>
        <v/>
      </c>
    </row>
    <row r="76">
      <c r="T76" s="9">
        <f>IFERROR(VLOOKUP(M76,Lists!$A$1:$B$8,2,FALSE),"")</f>
        <v/>
      </c>
      <c r="U76" s="6">
        <f>IFERROR(S76*T76,"")</f>
        <v/>
      </c>
    </row>
    <row r="77">
      <c r="T77" s="9">
        <f>IFERROR(VLOOKUP(M77,Lists!$A$1:$B$8,2,FALSE),"")</f>
        <v/>
      </c>
      <c r="U77" s="6">
        <f>IFERROR(S77*T77,"")</f>
        <v/>
      </c>
    </row>
    <row r="78">
      <c r="T78" s="9">
        <f>IFERROR(VLOOKUP(M78,Lists!$A$1:$B$8,2,FALSE),"")</f>
        <v/>
      </c>
      <c r="U78" s="6">
        <f>IFERROR(S78*T78,"")</f>
        <v/>
      </c>
    </row>
    <row r="79">
      <c r="T79" s="9">
        <f>IFERROR(VLOOKUP(M79,Lists!$A$1:$B$8,2,FALSE),"")</f>
        <v/>
      </c>
      <c r="U79" s="6">
        <f>IFERROR(S79*T79,"")</f>
        <v/>
      </c>
    </row>
    <row r="80">
      <c r="T80" s="9">
        <f>IFERROR(VLOOKUP(M80,Lists!$A$1:$B$8,2,FALSE),"")</f>
        <v/>
      </c>
      <c r="U80" s="6">
        <f>IFERROR(S80*T80,"")</f>
        <v/>
      </c>
    </row>
    <row r="81">
      <c r="T81" s="9">
        <f>IFERROR(VLOOKUP(M81,Lists!$A$1:$B$8,2,FALSE),"")</f>
        <v/>
      </c>
      <c r="U81" s="6">
        <f>IFERROR(S81*T81,"")</f>
        <v/>
      </c>
    </row>
    <row r="82">
      <c r="T82" s="9">
        <f>IFERROR(VLOOKUP(M82,Lists!$A$1:$B$8,2,FALSE),"")</f>
        <v/>
      </c>
      <c r="U82" s="6">
        <f>IFERROR(S82*T82,"")</f>
        <v/>
      </c>
    </row>
    <row r="83">
      <c r="T83" s="9">
        <f>IFERROR(VLOOKUP(M83,Lists!$A$1:$B$8,2,FALSE),"")</f>
        <v/>
      </c>
      <c r="U83" s="6">
        <f>IFERROR(S83*T83,"")</f>
        <v/>
      </c>
    </row>
    <row r="84">
      <c r="T84" s="9">
        <f>IFERROR(VLOOKUP(M84,Lists!$A$1:$B$8,2,FALSE),"")</f>
        <v/>
      </c>
      <c r="U84" s="6">
        <f>IFERROR(S84*T84,"")</f>
        <v/>
      </c>
    </row>
    <row r="85">
      <c r="T85" s="9">
        <f>IFERROR(VLOOKUP(M85,Lists!$A$1:$B$8,2,FALSE),"")</f>
        <v/>
      </c>
      <c r="U85" s="6">
        <f>IFERROR(S85*T85,"")</f>
        <v/>
      </c>
    </row>
    <row r="86">
      <c r="T86" s="9">
        <f>IFERROR(VLOOKUP(M86,Lists!$A$1:$B$8,2,FALSE),"")</f>
        <v/>
      </c>
      <c r="U86" s="6">
        <f>IFERROR(S86*T86,"")</f>
        <v/>
      </c>
    </row>
    <row r="87">
      <c r="T87" s="9">
        <f>IFERROR(VLOOKUP(M87,Lists!$A$1:$B$8,2,FALSE),"")</f>
        <v/>
      </c>
      <c r="U87" s="6">
        <f>IFERROR(S87*T87,"")</f>
        <v/>
      </c>
    </row>
    <row r="88">
      <c r="T88" s="9">
        <f>IFERROR(VLOOKUP(M88,Lists!$A$1:$B$8,2,FALSE),"")</f>
        <v/>
      </c>
      <c r="U88" s="6">
        <f>IFERROR(S88*T88,"")</f>
        <v/>
      </c>
    </row>
    <row r="89">
      <c r="T89" s="9">
        <f>IFERROR(VLOOKUP(M89,Lists!$A$1:$B$8,2,FALSE),"")</f>
        <v/>
      </c>
      <c r="U89" s="6">
        <f>IFERROR(S89*T89,"")</f>
        <v/>
      </c>
    </row>
    <row r="90">
      <c r="T90" s="9">
        <f>IFERROR(VLOOKUP(M90,Lists!$A$1:$B$8,2,FALSE),"")</f>
        <v/>
      </c>
      <c r="U90" s="6">
        <f>IFERROR(S90*T90,"")</f>
        <v/>
      </c>
    </row>
    <row r="91">
      <c r="T91" s="9">
        <f>IFERROR(VLOOKUP(M91,Lists!$A$1:$B$8,2,FALSE),"")</f>
        <v/>
      </c>
      <c r="U91" s="6">
        <f>IFERROR(S91*T91,"")</f>
        <v/>
      </c>
    </row>
    <row r="92">
      <c r="T92" s="9">
        <f>IFERROR(VLOOKUP(M92,Lists!$A$1:$B$8,2,FALSE),"")</f>
        <v/>
      </c>
      <c r="U92" s="6">
        <f>IFERROR(S92*T92,"")</f>
        <v/>
      </c>
    </row>
    <row r="93">
      <c r="T93" s="9">
        <f>IFERROR(VLOOKUP(M93,Lists!$A$1:$B$8,2,FALSE),"")</f>
        <v/>
      </c>
      <c r="U93" s="6">
        <f>IFERROR(S93*T93,"")</f>
        <v/>
      </c>
    </row>
    <row r="94">
      <c r="T94" s="9">
        <f>IFERROR(VLOOKUP(M94,Lists!$A$1:$B$8,2,FALSE),"")</f>
        <v/>
      </c>
      <c r="U94" s="6">
        <f>IFERROR(S94*T94,"")</f>
        <v/>
      </c>
    </row>
    <row r="95">
      <c r="T95" s="9">
        <f>IFERROR(VLOOKUP(M95,Lists!$A$1:$B$8,2,FALSE),"")</f>
        <v/>
      </c>
      <c r="U95" s="6">
        <f>IFERROR(S95*T95,"")</f>
        <v/>
      </c>
    </row>
    <row r="96">
      <c r="T96" s="9">
        <f>IFERROR(VLOOKUP(M96,Lists!$A$1:$B$8,2,FALSE),"")</f>
        <v/>
      </c>
      <c r="U96" s="6">
        <f>IFERROR(S96*T96,"")</f>
        <v/>
      </c>
    </row>
    <row r="97">
      <c r="T97" s="9">
        <f>IFERROR(VLOOKUP(M97,Lists!$A$1:$B$8,2,FALSE),"")</f>
        <v/>
      </c>
      <c r="U97" s="6">
        <f>IFERROR(S97*T97,"")</f>
        <v/>
      </c>
    </row>
    <row r="98">
      <c r="T98" s="9">
        <f>IFERROR(VLOOKUP(M98,Lists!$A$1:$B$8,2,FALSE),"")</f>
        <v/>
      </c>
      <c r="U98" s="6">
        <f>IFERROR(S98*T98,"")</f>
        <v/>
      </c>
    </row>
    <row r="99">
      <c r="T99" s="9">
        <f>IFERROR(VLOOKUP(M99,Lists!$A$1:$B$8,2,FALSE),"")</f>
        <v/>
      </c>
      <c r="U99" s="6">
        <f>IFERROR(S99*T99,"")</f>
        <v/>
      </c>
    </row>
    <row r="100">
      <c r="T100" s="9">
        <f>IFERROR(VLOOKUP(M100,Lists!$A$1:$B$8,2,FALSE),"")</f>
        <v/>
      </c>
      <c r="U100" s="6">
        <f>IFERROR(S100*T100,"")</f>
        <v/>
      </c>
    </row>
    <row r="101">
      <c r="T101" s="9">
        <f>IFERROR(VLOOKUP(M101,Lists!$A$1:$B$8,2,FALSE),"")</f>
        <v/>
      </c>
      <c r="U101" s="6">
        <f>IFERROR(S101*T101,"")</f>
        <v/>
      </c>
    </row>
    <row r="102">
      <c r="T102" s="9">
        <f>IFERROR(VLOOKUP(M102,Lists!$A$1:$B$8,2,FALSE),"")</f>
        <v/>
      </c>
      <c r="U102" s="6">
        <f>IFERROR(S102*T102,"")</f>
        <v/>
      </c>
    </row>
    <row r="103">
      <c r="T103" s="9">
        <f>IFERROR(VLOOKUP(M103,Lists!$A$1:$B$8,2,FALSE),"")</f>
        <v/>
      </c>
      <c r="U103" s="6">
        <f>IFERROR(S103*T103,"")</f>
        <v/>
      </c>
    </row>
    <row r="104">
      <c r="T104" s="9">
        <f>IFERROR(VLOOKUP(M104,Lists!$A$1:$B$8,2,FALSE),"")</f>
        <v/>
      </c>
      <c r="U104" s="6">
        <f>IFERROR(S104*T104,"")</f>
        <v/>
      </c>
    </row>
    <row r="105">
      <c r="T105" s="9">
        <f>IFERROR(VLOOKUP(M105,Lists!$A$1:$B$8,2,FALSE),"")</f>
        <v/>
      </c>
      <c r="U105" s="6">
        <f>IFERROR(S105*T105,"")</f>
        <v/>
      </c>
    </row>
    <row r="106">
      <c r="T106" s="9">
        <f>IFERROR(VLOOKUP(M106,Lists!$A$1:$B$8,2,FALSE),"")</f>
        <v/>
      </c>
      <c r="U106" s="6">
        <f>IFERROR(S106*T106,"")</f>
        <v/>
      </c>
    </row>
    <row r="107">
      <c r="T107" s="9">
        <f>IFERROR(VLOOKUP(M107,Lists!$A$1:$B$8,2,FALSE),"")</f>
        <v/>
      </c>
      <c r="U107" s="6">
        <f>IFERROR(S107*T107,"")</f>
        <v/>
      </c>
    </row>
    <row r="108">
      <c r="T108" s="9">
        <f>IFERROR(VLOOKUP(M108,Lists!$A$1:$B$8,2,FALSE),"")</f>
        <v/>
      </c>
      <c r="U108" s="6">
        <f>IFERROR(S108*T108,"")</f>
        <v/>
      </c>
    </row>
    <row r="109">
      <c r="T109" s="9">
        <f>IFERROR(VLOOKUP(M109,Lists!$A$1:$B$8,2,FALSE),"")</f>
        <v/>
      </c>
      <c r="U109" s="6">
        <f>IFERROR(S109*T109,"")</f>
        <v/>
      </c>
    </row>
    <row r="110">
      <c r="T110" s="9">
        <f>IFERROR(VLOOKUP(M110,Lists!$A$1:$B$8,2,FALSE),"")</f>
        <v/>
      </c>
      <c r="U110" s="6">
        <f>IFERROR(S110*T110,"")</f>
        <v/>
      </c>
    </row>
    <row r="111">
      <c r="T111" s="9">
        <f>IFERROR(VLOOKUP(M111,Lists!$A$1:$B$8,2,FALSE),"")</f>
        <v/>
      </c>
      <c r="U111" s="6">
        <f>IFERROR(S111*T111,"")</f>
        <v/>
      </c>
    </row>
    <row r="112">
      <c r="T112" s="9">
        <f>IFERROR(VLOOKUP(M112,Lists!$A$1:$B$8,2,FALSE),"")</f>
        <v/>
      </c>
      <c r="U112" s="6">
        <f>IFERROR(S112*T112,"")</f>
        <v/>
      </c>
    </row>
    <row r="113">
      <c r="T113" s="9">
        <f>IFERROR(VLOOKUP(M113,Lists!$A$1:$B$8,2,FALSE),"")</f>
        <v/>
      </c>
      <c r="U113" s="6">
        <f>IFERROR(S113*T113,"")</f>
        <v/>
      </c>
    </row>
    <row r="114">
      <c r="T114" s="9">
        <f>IFERROR(VLOOKUP(M114,Lists!$A$1:$B$8,2,FALSE),"")</f>
        <v/>
      </c>
      <c r="U114" s="6">
        <f>IFERROR(S114*T114,"")</f>
        <v/>
      </c>
    </row>
    <row r="115">
      <c r="T115" s="9">
        <f>IFERROR(VLOOKUP(M115,Lists!$A$1:$B$8,2,FALSE),"")</f>
        <v/>
      </c>
      <c r="U115" s="6">
        <f>IFERROR(S115*T115,"")</f>
        <v/>
      </c>
    </row>
    <row r="116">
      <c r="T116" s="9">
        <f>IFERROR(VLOOKUP(M116,Lists!$A$1:$B$8,2,FALSE),"")</f>
        <v/>
      </c>
      <c r="U116" s="6">
        <f>IFERROR(S116*T116,"")</f>
        <v/>
      </c>
    </row>
    <row r="117">
      <c r="T117" s="9">
        <f>IFERROR(VLOOKUP(M117,Lists!$A$1:$B$8,2,FALSE),"")</f>
        <v/>
      </c>
      <c r="U117" s="6">
        <f>IFERROR(S117*T117,"")</f>
        <v/>
      </c>
    </row>
    <row r="118">
      <c r="T118" s="9">
        <f>IFERROR(VLOOKUP(M118,Lists!$A$1:$B$8,2,FALSE),"")</f>
        <v/>
      </c>
      <c r="U118" s="6">
        <f>IFERROR(S118*T118,"")</f>
        <v/>
      </c>
    </row>
    <row r="119">
      <c r="T119" s="9">
        <f>IFERROR(VLOOKUP(M119,Lists!$A$1:$B$8,2,FALSE),"")</f>
        <v/>
      </c>
      <c r="U119" s="6">
        <f>IFERROR(S119*T119,"")</f>
        <v/>
      </c>
    </row>
    <row r="120">
      <c r="T120" s="9">
        <f>IFERROR(VLOOKUP(M120,Lists!$A$1:$B$8,2,FALSE),"")</f>
        <v/>
      </c>
      <c r="U120" s="6">
        <f>IFERROR(S120*T120,"")</f>
        <v/>
      </c>
    </row>
    <row r="121">
      <c r="T121" s="9">
        <f>IFERROR(VLOOKUP(M121,Lists!$A$1:$B$8,2,FALSE),"")</f>
        <v/>
      </c>
      <c r="U121" s="6">
        <f>IFERROR(S121*T121,"")</f>
        <v/>
      </c>
    </row>
    <row r="122">
      <c r="T122" s="9">
        <f>IFERROR(VLOOKUP(M122,Lists!$A$1:$B$8,2,FALSE),"")</f>
        <v/>
      </c>
      <c r="U122" s="6">
        <f>IFERROR(S122*T122,"")</f>
        <v/>
      </c>
    </row>
    <row r="123">
      <c r="T123" s="9">
        <f>IFERROR(VLOOKUP(M123,Lists!$A$1:$B$8,2,FALSE),"")</f>
        <v/>
      </c>
      <c r="U123" s="6">
        <f>IFERROR(S123*T123,"")</f>
        <v/>
      </c>
    </row>
    <row r="124">
      <c r="T124" s="9">
        <f>IFERROR(VLOOKUP(M124,Lists!$A$1:$B$8,2,FALSE),"")</f>
        <v/>
      </c>
      <c r="U124" s="6">
        <f>IFERROR(S124*T124,"")</f>
        <v/>
      </c>
    </row>
    <row r="125">
      <c r="T125" s="9">
        <f>IFERROR(VLOOKUP(M125,Lists!$A$1:$B$8,2,FALSE),"")</f>
        <v/>
      </c>
      <c r="U125" s="6">
        <f>IFERROR(S125*T125,"")</f>
        <v/>
      </c>
    </row>
    <row r="126">
      <c r="T126" s="9">
        <f>IFERROR(VLOOKUP(M126,Lists!$A$1:$B$8,2,FALSE),"")</f>
        <v/>
      </c>
      <c r="U126" s="6">
        <f>IFERROR(S126*T126,"")</f>
        <v/>
      </c>
    </row>
    <row r="127">
      <c r="T127" s="9">
        <f>IFERROR(VLOOKUP(M127,Lists!$A$1:$B$8,2,FALSE),"")</f>
        <v/>
      </c>
      <c r="U127" s="6">
        <f>IFERROR(S127*T127,"")</f>
        <v/>
      </c>
    </row>
    <row r="128">
      <c r="T128" s="9">
        <f>IFERROR(VLOOKUP(M128,Lists!$A$1:$B$8,2,FALSE),"")</f>
        <v/>
      </c>
      <c r="U128" s="6">
        <f>IFERROR(S128*T128,"")</f>
        <v/>
      </c>
    </row>
    <row r="129">
      <c r="T129" s="9">
        <f>IFERROR(VLOOKUP(M129,Lists!$A$1:$B$8,2,FALSE),"")</f>
        <v/>
      </c>
      <c r="U129" s="6">
        <f>IFERROR(S129*T129,"")</f>
        <v/>
      </c>
    </row>
    <row r="130">
      <c r="T130" s="9">
        <f>IFERROR(VLOOKUP(M130,Lists!$A$1:$B$8,2,FALSE),"")</f>
        <v/>
      </c>
      <c r="U130" s="6">
        <f>IFERROR(S130*T130,"")</f>
        <v/>
      </c>
    </row>
    <row r="131">
      <c r="T131" s="9">
        <f>IFERROR(VLOOKUP(M131,Lists!$A$1:$B$8,2,FALSE),"")</f>
        <v/>
      </c>
      <c r="U131" s="6">
        <f>IFERROR(S131*T131,"")</f>
        <v/>
      </c>
    </row>
    <row r="132">
      <c r="T132" s="9">
        <f>IFERROR(VLOOKUP(M132,Lists!$A$1:$B$8,2,FALSE),"")</f>
        <v/>
      </c>
      <c r="U132" s="6">
        <f>IFERROR(S132*T132,"")</f>
        <v/>
      </c>
    </row>
    <row r="133">
      <c r="T133" s="9">
        <f>IFERROR(VLOOKUP(M133,Lists!$A$1:$B$8,2,FALSE),"")</f>
        <v/>
      </c>
      <c r="U133" s="6">
        <f>IFERROR(S133*T133,"")</f>
        <v/>
      </c>
    </row>
    <row r="134">
      <c r="T134" s="9">
        <f>IFERROR(VLOOKUP(M134,Lists!$A$1:$B$8,2,FALSE),"")</f>
        <v/>
      </c>
      <c r="U134" s="6">
        <f>IFERROR(S134*T134,"")</f>
        <v/>
      </c>
    </row>
    <row r="135">
      <c r="T135" s="9">
        <f>IFERROR(VLOOKUP(M135,Lists!$A$1:$B$8,2,FALSE),"")</f>
        <v/>
      </c>
      <c r="U135" s="6">
        <f>IFERROR(S135*T135,"")</f>
        <v/>
      </c>
    </row>
    <row r="136">
      <c r="T136" s="9">
        <f>IFERROR(VLOOKUP(M136,Lists!$A$1:$B$8,2,FALSE),"")</f>
        <v/>
      </c>
      <c r="U136" s="6">
        <f>IFERROR(S136*T136,"")</f>
        <v/>
      </c>
    </row>
    <row r="137">
      <c r="T137" s="9">
        <f>IFERROR(VLOOKUP(M137,Lists!$A$1:$B$8,2,FALSE),"")</f>
        <v/>
      </c>
      <c r="U137" s="6">
        <f>IFERROR(S137*T137,"")</f>
        <v/>
      </c>
    </row>
    <row r="138">
      <c r="T138" s="9">
        <f>IFERROR(VLOOKUP(M138,Lists!$A$1:$B$8,2,FALSE),"")</f>
        <v/>
      </c>
      <c r="U138" s="6">
        <f>IFERROR(S138*T138,"")</f>
        <v/>
      </c>
    </row>
    <row r="139">
      <c r="T139" s="9">
        <f>IFERROR(VLOOKUP(M139,Lists!$A$1:$B$8,2,FALSE),"")</f>
        <v/>
      </c>
      <c r="U139" s="6">
        <f>IFERROR(S139*T139,"")</f>
        <v/>
      </c>
    </row>
    <row r="140">
      <c r="T140" s="9">
        <f>IFERROR(VLOOKUP(M140,Lists!$A$1:$B$8,2,FALSE),"")</f>
        <v/>
      </c>
      <c r="U140" s="6">
        <f>IFERROR(S140*T140,"")</f>
        <v/>
      </c>
    </row>
    <row r="141">
      <c r="T141" s="9">
        <f>IFERROR(VLOOKUP(M141,Lists!$A$1:$B$8,2,FALSE),"")</f>
        <v/>
      </c>
      <c r="U141" s="6">
        <f>IFERROR(S141*T141,"")</f>
        <v/>
      </c>
    </row>
    <row r="142">
      <c r="T142" s="9">
        <f>IFERROR(VLOOKUP(M142,Lists!$A$1:$B$8,2,FALSE),"")</f>
        <v/>
      </c>
      <c r="U142" s="6">
        <f>IFERROR(S142*T142,"")</f>
        <v/>
      </c>
    </row>
    <row r="143">
      <c r="T143" s="9">
        <f>IFERROR(VLOOKUP(M143,Lists!$A$1:$B$8,2,FALSE),"")</f>
        <v/>
      </c>
      <c r="U143" s="6">
        <f>IFERROR(S143*T143,"")</f>
        <v/>
      </c>
    </row>
    <row r="144">
      <c r="T144" s="9">
        <f>IFERROR(VLOOKUP(M144,Lists!$A$1:$B$8,2,FALSE),"")</f>
        <v/>
      </c>
      <c r="U144" s="6">
        <f>IFERROR(S144*T144,"")</f>
        <v/>
      </c>
    </row>
    <row r="145">
      <c r="T145" s="9">
        <f>IFERROR(VLOOKUP(M145,Lists!$A$1:$B$8,2,FALSE),"")</f>
        <v/>
      </c>
      <c r="U145" s="6">
        <f>IFERROR(S145*T145,"")</f>
        <v/>
      </c>
    </row>
    <row r="146">
      <c r="T146" s="9">
        <f>IFERROR(VLOOKUP(M146,Lists!$A$1:$B$8,2,FALSE),"")</f>
        <v/>
      </c>
      <c r="U146" s="6">
        <f>IFERROR(S146*T146,"")</f>
        <v/>
      </c>
    </row>
    <row r="147">
      <c r="T147" s="9">
        <f>IFERROR(VLOOKUP(M147,Lists!$A$1:$B$8,2,FALSE),"")</f>
        <v/>
      </c>
      <c r="U147" s="6">
        <f>IFERROR(S147*T147,"")</f>
        <v/>
      </c>
    </row>
    <row r="148">
      <c r="T148" s="9">
        <f>IFERROR(VLOOKUP(M148,Lists!$A$1:$B$8,2,FALSE),"")</f>
        <v/>
      </c>
      <c r="U148" s="6">
        <f>IFERROR(S148*T148,"")</f>
        <v/>
      </c>
    </row>
    <row r="149">
      <c r="T149" s="9">
        <f>IFERROR(VLOOKUP(M149,Lists!$A$1:$B$8,2,FALSE),"")</f>
        <v/>
      </c>
      <c r="U149" s="6">
        <f>IFERROR(S149*T149,"")</f>
        <v/>
      </c>
    </row>
    <row r="150">
      <c r="T150" s="9">
        <f>IFERROR(VLOOKUP(M150,Lists!$A$1:$B$8,2,FALSE),"")</f>
        <v/>
      </c>
      <c r="U150" s="6">
        <f>IFERROR(S150*T150,"")</f>
        <v/>
      </c>
    </row>
    <row r="151">
      <c r="T151" s="9">
        <f>IFERROR(VLOOKUP(M151,Lists!$A$1:$B$8,2,FALSE),"")</f>
        <v/>
      </c>
      <c r="U151" s="6">
        <f>IFERROR(S151*T151,"")</f>
        <v/>
      </c>
    </row>
    <row r="152">
      <c r="T152" s="9">
        <f>IFERROR(VLOOKUP(M152,Lists!$A$1:$B$8,2,FALSE),"")</f>
        <v/>
      </c>
      <c r="U152" s="6">
        <f>IFERROR(S152*T152,"")</f>
        <v/>
      </c>
    </row>
    <row r="153">
      <c r="T153" s="9">
        <f>IFERROR(VLOOKUP(M153,Lists!$A$1:$B$8,2,FALSE),"")</f>
        <v/>
      </c>
      <c r="U153" s="6">
        <f>IFERROR(S153*T153,"")</f>
        <v/>
      </c>
    </row>
    <row r="154">
      <c r="T154" s="9">
        <f>IFERROR(VLOOKUP(M154,Lists!$A$1:$B$8,2,FALSE),"")</f>
        <v/>
      </c>
      <c r="U154" s="6">
        <f>IFERROR(S154*T154,"")</f>
        <v/>
      </c>
    </row>
    <row r="155">
      <c r="T155" s="9">
        <f>IFERROR(VLOOKUP(M155,Lists!$A$1:$B$8,2,FALSE),"")</f>
        <v/>
      </c>
      <c r="U155" s="6">
        <f>IFERROR(S155*T155,"")</f>
        <v/>
      </c>
    </row>
    <row r="156">
      <c r="T156" s="9">
        <f>IFERROR(VLOOKUP(M156,Lists!$A$1:$B$8,2,FALSE),"")</f>
        <v/>
      </c>
      <c r="U156" s="6">
        <f>IFERROR(S156*T156,"")</f>
        <v/>
      </c>
    </row>
    <row r="157">
      <c r="T157" s="9">
        <f>IFERROR(VLOOKUP(M157,Lists!$A$1:$B$8,2,FALSE),"")</f>
        <v/>
      </c>
      <c r="U157" s="6">
        <f>IFERROR(S157*T157,"")</f>
        <v/>
      </c>
    </row>
    <row r="158">
      <c r="T158" s="9">
        <f>IFERROR(VLOOKUP(M158,Lists!$A$1:$B$8,2,FALSE),"")</f>
        <v/>
      </c>
      <c r="U158" s="6">
        <f>IFERROR(S158*T158,"")</f>
        <v/>
      </c>
    </row>
    <row r="159">
      <c r="T159" s="9">
        <f>IFERROR(VLOOKUP(M159,Lists!$A$1:$B$8,2,FALSE),"")</f>
        <v/>
      </c>
      <c r="U159" s="6">
        <f>IFERROR(S159*T159,"")</f>
        <v/>
      </c>
    </row>
    <row r="160">
      <c r="T160" s="9">
        <f>IFERROR(VLOOKUP(M160,Lists!$A$1:$B$8,2,FALSE),"")</f>
        <v/>
      </c>
      <c r="U160" s="6">
        <f>IFERROR(S160*T160,"")</f>
        <v/>
      </c>
    </row>
    <row r="161">
      <c r="T161" s="9">
        <f>IFERROR(VLOOKUP(M161,Lists!$A$1:$B$8,2,FALSE),"")</f>
        <v/>
      </c>
      <c r="U161" s="6">
        <f>IFERROR(S161*T161,"")</f>
        <v/>
      </c>
    </row>
    <row r="162">
      <c r="T162" s="9">
        <f>IFERROR(VLOOKUP(M162,Lists!$A$1:$B$8,2,FALSE),"")</f>
        <v/>
      </c>
      <c r="U162" s="6">
        <f>IFERROR(S162*T162,"")</f>
        <v/>
      </c>
    </row>
    <row r="163">
      <c r="T163" s="9">
        <f>IFERROR(VLOOKUP(M163,Lists!$A$1:$B$8,2,FALSE),"")</f>
        <v/>
      </c>
      <c r="U163" s="6">
        <f>IFERROR(S163*T163,"")</f>
        <v/>
      </c>
    </row>
    <row r="164">
      <c r="T164" s="9">
        <f>IFERROR(VLOOKUP(M164,Lists!$A$1:$B$8,2,FALSE),"")</f>
        <v/>
      </c>
      <c r="U164" s="6">
        <f>IFERROR(S164*T164,"")</f>
        <v/>
      </c>
    </row>
    <row r="165">
      <c r="T165" s="9">
        <f>IFERROR(VLOOKUP(M165,Lists!$A$1:$B$8,2,FALSE),"")</f>
        <v/>
      </c>
      <c r="U165" s="6">
        <f>IFERROR(S165*T165,"")</f>
        <v/>
      </c>
    </row>
    <row r="166">
      <c r="T166" s="9">
        <f>IFERROR(VLOOKUP(M166,Lists!$A$1:$B$8,2,FALSE),"")</f>
        <v/>
      </c>
      <c r="U166" s="6">
        <f>IFERROR(S166*T166,"")</f>
        <v/>
      </c>
    </row>
    <row r="167">
      <c r="T167" s="9">
        <f>IFERROR(VLOOKUP(M167,Lists!$A$1:$B$8,2,FALSE),"")</f>
        <v/>
      </c>
      <c r="U167" s="6">
        <f>IFERROR(S167*T167,"")</f>
        <v/>
      </c>
    </row>
    <row r="168">
      <c r="T168" s="9">
        <f>IFERROR(VLOOKUP(M168,Lists!$A$1:$B$8,2,FALSE),"")</f>
        <v/>
      </c>
      <c r="U168" s="6">
        <f>IFERROR(S168*T168,"")</f>
        <v/>
      </c>
    </row>
    <row r="169">
      <c r="T169" s="9">
        <f>IFERROR(VLOOKUP(M169,Lists!$A$1:$B$8,2,FALSE),"")</f>
        <v/>
      </c>
      <c r="U169" s="6">
        <f>IFERROR(S169*T169,"")</f>
        <v/>
      </c>
    </row>
    <row r="170">
      <c r="T170" s="9">
        <f>IFERROR(VLOOKUP(M170,Lists!$A$1:$B$8,2,FALSE),"")</f>
        <v/>
      </c>
      <c r="U170" s="6">
        <f>IFERROR(S170*T170,"")</f>
        <v/>
      </c>
    </row>
    <row r="171">
      <c r="T171" s="9">
        <f>IFERROR(VLOOKUP(M171,Lists!$A$1:$B$8,2,FALSE),"")</f>
        <v/>
      </c>
      <c r="U171" s="6">
        <f>IFERROR(S171*T171,"")</f>
        <v/>
      </c>
    </row>
    <row r="172">
      <c r="T172" s="9">
        <f>IFERROR(VLOOKUP(M172,Lists!$A$1:$B$8,2,FALSE),"")</f>
        <v/>
      </c>
      <c r="U172" s="6">
        <f>IFERROR(S172*T172,"")</f>
        <v/>
      </c>
    </row>
    <row r="173">
      <c r="T173" s="9">
        <f>IFERROR(VLOOKUP(M173,Lists!$A$1:$B$8,2,FALSE),"")</f>
        <v/>
      </c>
      <c r="U173" s="6">
        <f>IFERROR(S173*T173,"")</f>
        <v/>
      </c>
    </row>
    <row r="174">
      <c r="T174" s="9">
        <f>IFERROR(VLOOKUP(M174,Lists!$A$1:$B$8,2,FALSE),"")</f>
        <v/>
      </c>
      <c r="U174" s="6">
        <f>IFERROR(S174*T174,"")</f>
        <v/>
      </c>
    </row>
    <row r="175">
      <c r="T175" s="9">
        <f>IFERROR(VLOOKUP(M175,Lists!$A$1:$B$8,2,FALSE),"")</f>
        <v/>
      </c>
      <c r="U175" s="6">
        <f>IFERROR(S175*T175,"")</f>
        <v/>
      </c>
    </row>
    <row r="176">
      <c r="T176" s="9">
        <f>IFERROR(VLOOKUP(M176,Lists!$A$1:$B$8,2,FALSE),"")</f>
        <v/>
      </c>
      <c r="U176" s="6">
        <f>IFERROR(S176*T176,"")</f>
        <v/>
      </c>
    </row>
    <row r="177">
      <c r="T177" s="9">
        <f>IFERROR(VLOOKUP(M177,Lists!$A$1:$B$8,2,FALSE),"")</f>
        <v/>
      </c>
      <c r="U177" s="6">
        <f>IFERROR(S177*T177,"")</f>
        <v/>
      </c>
    </row>
    <row r="178">
      <c r="T178" s="9">
        <f>IFERROR(VLOOKUP(M178,Lists!$A$1:$B$8,2,FALSE),"")</f>
        <v/>
      </c>
      <c r="U178" s="6">
        <f>IFERROR(S178*T178,"")</f>
        <v/>
      </c>
    </row>
    <row r="179">
      <c r="T179" s="9">
        <f>IFERROR(VLOOKUP(M179,Lists!$A$1:$B$8,2,FALSE),"")</f>
        <v/>
      </c>
      <c r="U179" s="6">
        <f>IFERROR(S179*T179,"")</f>
        <v/>
      </c>
    </row>
    <row r="180">
      <c r="T180" s="9">
        <f>IFERROR(VLOOKUP(M180,Lists!$A$1:$B$8,2,FALSE),"")</f>
        <v/>
      </c>
      <c r="U180" s="6">
        <f>IFERROR(S180*T180,"")</f>
        <v/>
      </c>
    </row>
    <row r="181">
      <c r="T181" s="9">
        <f>IFERROR(VLOOKUP(M181,Lists!$A$1:$B$8,2,FALSE),"")</f>
        <v/>
      </c>
      <c r="U181" s="6">
        <f>IFERROR(S181*T181,"")</f>
        <v/>
      </c>
    </row>
    <row r="182">
      <c r="T182" s="9">
        <f>IFERROR(VLOOKUP(M182,Lists!$A$1:$B$8,2,FALSE),"")</f>
        <v/>
      </c>
      <c r="U182" s="6">
        <f>IFERROR(S182*T182,"")</f>
        <v/>
      </c>
    </row>
    <row r="183">
      <c r="T183" s="9">
        <f>IFERROR(VLOOKUP(M183,Lists!$A$1:$B$8,2,FALSE),"")</f>
        <v/>
      </c>
      <c r="U183" s="6">
        <f>IFERROR(S183*T183,"")</f>
        <v/>
      </c>
    </row>
    <row r="184">
      <c r="T184" s="9">
        <f>IFERROR(VLOOKUP(M184,Lists!$A$1:$B$8,2,FALSE),"")</f>
        <v/>
      </c>
      <c r="U184" s="6">
        <f>IFERROR(S184*T184,"")</f>
        <v/>
      </c>
    </row>
    <row r="185">
      <c r="T185" s="9">
        <f>IFERROR(VLOOKUP(M185,Lists!$A$1:$B$8,2,FALSE),"")</f>
        <v/>
      </c>
      <c r="U185" s="6">
        <f>IFERROR(S185*T185,"")</f>
        <v/>
      </c>
    </row>
    <row r="186">
      <c r="T186" s="9">
        <f>IFERROR(VLOOKUP(M186,Lists!$A$1:$B$8,2,FALSE),"")</f>
        <v/>
      </c>
      <c r="U186" s="6">
        <f>IFERROR(S186*T186,"")</f>
        <v/>
      </c>
    </row>
    <row r="187">
      <c r="T187" s="9">
        <f>IFERROR(VLOOKUP(M187,Lists!$A$1:$B$8,2,FALSE),"")</f>
        <v/>
      </c>
      <c r="U187" s="6">
        <f>IFERROR(S187*T187,"")</f>
        <v/>
      </c>
    </row>
    <row r="188">
      <c r="T188" s="9">
        <f>IFERROR(VLOOKUP(M188,Lists!$A$1:$B$8,2,FALSE),"")</f>
        <v/>
      </c>
      <c r="U188" s="6">
        <f>IFERROR(S188*T188,"")</f>
        <v/>
      </c>
    </row>
    <row r="189">
      <c r="T189" s="9">
        <f>IFERROR(VLOOKUP(M189,Lists!$A$1:$B$8,2,FALSE),"")</f>
        <v/>
      </c>
      <c r="U189" s="6">
        <f>IFERROR(S189*T189,"")</f>
        <v/>
      </c>
    </row>
    <row r="190">
      <c r="T190" s="9">
        <f>IFERROR(VLOOKUP(M190,Lists!$A$1:$B$8,2,FALSE),"")</f>
        <v/>
      </c>
      <c r="U190" s="6">
        <f>IFERROR(S190*T190,"")</f>
        <v/>
      </c>
    </row>
    <row r="191">
      <c r="T191" s="9">
        <f>IFERROR(VLOOKUP(M191,Lists!$A$1:$B$8,2,FALSE),"")</f>
        <v/>
      </c>
      <c r="U191" s="6">
        <f>IFERROR(S191*T191,"")</f>
        <v/>
      </c>
    </row>
    <row r="192">
      <c r="T192" s="9">
        <f>IFERROR(VLOOKUP(M192,Lists!$A$1:$B$8,2,FALSE),"")</f>
        <v/>
      </c>
      <c r="U192" s="6">
        <f>IFERROR(S192*T192,"")</f>
        <v/>
      </c>
    </row>
    <row r="193">
      <c r="T193" s="9">
        <f>IFERROR(VLOOKUP(M193,Lists!$A$1:$B$8,2,FALSE),"")</f>
        <v/>
      </c>
      <c r="U193" s="6">
        <f>IFERROR(S193*T193,"")</f>
        <v/>
      </c>
    </row>
    <row r="194">
      <c r="T194" s="9">
        <f>IFERROR(VLOOKUP(M194,Lists!$A$1:$B$8,2,FALSE),"")</f>
        <v/>
      </c>
      <c r="U194" s="6">
        <f>IFERROR(S194*T194,"")</f>
        <v/>
      </c>
    </row>
    <row r="195">
      <c r="T195" s="9">
        <f>IFERROR(VLOOKUP(M195,Lists!$A$1:$B$8,2,FALSE),"")</f>
        <v/>
      </c>
      <c r="U195" s="6">
        <f>IFERROR(S195*T195,"")</f>
        <v/>
      </c>
    </row>
    <row r="196">
      <c r="T196" s="9">
        <f>IFERROR(VLOOKUP(M196,Lists!$A$1:$B$8,2,FALSE),"")</f>
        <v/>
      </c>
      <c r="U196" s="6">
        <f>IFERROR(S196*T196,"")</f>
        <v/>
      </c>
    </row>
    <row r="197">
      <c r="T197" s="9">
        <f>IFERROR(VLOOKUP(M197,Lists!$A$1:$B$8,2,FALSE),"")</f>
        <v/>
      </c>
      <c r="U197" s="6">
        <f>IFERROR(S197*T197,"")</f>
        <v/>
      </c>
    </row>
    <row r="198">
      <c r="T198" s="9">
        <f>IFERROR(VLOOKUP(M198,Lists!$A$1:$B$8,2,FALSE),"")</f>
        <v/>
      </c>
      <c r="U198" s="6">
        <f>IFERROR(S198*T198,"")</f>
        <v/>
      </c>
    </row>
    <row r="199">
      <c r="T199" s="9">
        <f>IFERROR(VLOOKUP(M199,Lists!$A$1:$B$8,2,FALSE),"")</f>
        <v/>
      </c>
      <c r="U199" s="6">
        <f>IFERROR(S199*T199,"")</f>
        <v/>
      </c>
    </row>
    <row r="200">
      <c r="T200" s="9">
        <f>IFERROR(VLOOKUP(M200,Lists!$A$1:$B$8,2,FALSE),"")</f>
        <v/>
      </c>
      <c r="U200" s="6">
        <f>IFERROR(S200*T200,"")</f>
        <v/>
      </c>
    </row>
    <row r="201">
      <c r="T201" s="9">
        <f>IFERROR(VLOOKUP(M201,Lists!$A$1:$B$8,2,FALSE),"")</f>
        <v/>
      </c>
      <c r="U201" s="6">
        <f>IFERROR(S201*T201,"")</f>
        <v/>
      </c>
    </row>
    <row r="202">
      <c r="T202" s="9">
        <f>IFERROR(VLOOKUP(M202,Lists!$A$1:$B$8,2,FALSE),"")</f>
        <v/>
      </c>
      <c r="U202" s="6">
        <f>IFERROR(S202*T202,"")</f>
        <v/>
      </c>
    </row>
    <row r="203">
      <c r="T203" s="9">
        <f>IFERROR(VLOOKUP(M203,Lists!$A$1:$B$8,2,FALSE),"")</f>
        <v/>
      </c>
      <c r="U203" s="6">
        <f>IFERROR(S203*T203,"")</f>
        <v/>
      </c>
    </row>
    <row r="204">
      <c r="T204" s="9">
        <f>IFERROR(VLOOKUP(M204,Lists!$A$1:$B$8,2,FALSE),"")</f>
        <v/>
      </c>
      <c r="U204" s="6">
        <f>IFERROR(S204*T204,"")</f>
        <v/>
      </c>
    </row>
    <row r="205">
      <c r="T205" s="9">
        <f>IFERROR(VLOOKUP(M205,Lists!$A$1:$B$8,2,FALSE),"")</f>
        <v/>
      </c>
      <c r="U205" s="6">
        <f>IFERROR(S205*T205,"")</f>
        <v/>
      </c>
    </row>
    <row r="206">
      <c r="T206" s="9">
        <f>IFERROR(VLOOKUP(M206,Lists!$A$1:$B$8,2,FALSE),"")</f>
        <v/>
      </c>
      <c r="U206" s="6">
        <f>IFERROR(S206*T206,"")</f>
        <v/>
      </c>
    </row>
    <row r="207">
      <c r="T207" s="9">
        <f>IFERROR(VLOOKUP(M207,Lists!$A$1:$B$8,2,FALSE),"")</f>
        <v/>
      </c>
      <c r="U207" s="6">
        <f>IFERROR(S207*T207,"")</f>
        <v/>
      </c>
    </row>
    <row r="208">
      <c r="T208" s="9">
        <f>IFERROR(VLOOKUP(M208,Lists!$A$1:$B$8,2,FALSE),"")</f>
        <v/>
      </c>
      <c r="U208" s="6">
        <f>IFERROR(S208*T208,"")</f>
        <v/>
      </c>
    </row>
    <row r="209">
      <c r="T209" s="9">
        <f>IFERROR(VLOOKUP(M209,Lists!$A$1:$B$8,2,FALSE),"")</f>
        <v/>
      </c>
      <c r="U209" s="6">
        <f>IFERROR(S209*T209,"")</f>
        <v/>
      </c>
    </row>
    <row r="210">
      <c r="T210" s="9">
        <f>IFERROR(VLOOKUP(M210,Lists!$A$1:$B$8,2,FALSE),"")</f>
        <v/>
      </c>
      <c r="U210" s="6">
        <f>IFERROR(S210*T210,"")</f>
        <v/>
      </c>
    </row>
    <row r="211">
      <c r="T211" s="9">
        <f>IFERROR(VLOOKUP(M211,Lists!$A$1:$B$8,2,FALSE),"")</f>
        <v/>
      </c>
      <c r="U211" s="6">
        <f>IFERROR(S211*T211,"")</f>
        <v/>
      </c>
    </row>
    <row r="212">
      <c r="T212" s="9">
        <f>IFERROR(VLOOKUP(M212,Lists!$A$1:$B$8,2,FALSE),"")</f>
        <v/>
      </c>
      <c r="U212" s="6">
        <f>IFERROR(S212*T212,"")</f>
        <v/>
      </c>
    </row>
    <row r="213">
      <c r="T213" s="9">
        <f>IFERROR(VLOOKUP(M213,Lists!$A$1:$B$8,2,FALSE),"")</f>
        <v/>
      </c>
      <c r="U213" s="6">
        <f>IFERROR(S213*T213,"")</f>
        <v/>
      </c>
    </row>
    <row r="214">
      <c r="T214" s="9">
        <f>IFERROR(VLOOKUP(M214,Lists!$A$1:$B$8,2,FALSE),"")</f>
        <v/>
      </c>
      <c r="U214" s="6">
        <f>IFERROR(S214*T214,"")</f>
        <v/>
      </c>
    </row>
    <row r="215">
      <c r="T215" s="9">
        <f>IFERROR(VLOOKUP(M215,Lists!$A$1:$B$8,2,FALSE),"")</f>
        <v/>
      </c>
      <c r="U215" s="6">
        <f>IFERROR(S215*T215,"")</f>
        <v/>
      </c>
    </row>
    <row r="216">
      <c r="T216" s="9">
        <f>IFERROR(VLOOKUP(M216,Lists!$A$1:$B$8,2,FALSE),"")</f>
        <v/>
      </c>
      <c r="U216" s="6">
        <f>IFERROR(S216*T216,"")</f>
        <v/>
      </c>
    </row>
    <row r="217">
      <c r="T217" s="9">
        <f>IFERROR(VLOOKUP(M217,Lists!$A$1:$B$8,2,FALSE),"")</f>
        <v/>
      </c>
      <c r="U217" s="6">
        <f>IFERROR(S217*T217,"")</f>
        <v/>
      </c>
    </row>
    <row r="218">
      <c r="T218" s="9">
        <f>IFERROR(VLOOKUP(M218,Lists!$A$1:$B$8,2,FALSE),"")</f>
        <v/>
      </c>
      <c r="U218" s="6">
        <f>IFERROR(S218*T218,"")</f>
        <v/>
      </c>
    </row>
    <row r="219">
      <c r="T219" s="9">
        <f>IFERROR(VLOOKUP(M219,Lists!$A$1:$B$8,2,FALSE),"")</f>
        <v/>
      </c>
      <c r="U219" s="6">
        <f>IFERROR(S219*T219,"")</f>
        <v/>
      </c>
    </row>
    <row r="220">
      <c r="T220" s="9">
        <f>IFERROR(VLOOKUP(M220,Lists!$A$1:$B$8,2,FALSE),"")</f>
        <v/>
      </c>
      <c r="U220" s="6">
        <f>IFERROR(S220*T220,"")</f>
        <v/>
      </c>
    </row>
    <row r="221">
      <c r="T221" s="9">
        <f>IFERROR(VLOOKUP(M221,Lists!$A$1:$B$8,2,FALSE),"")</f>
        <v/>
      </c>
      <c r="U221" s="6">
        <f>IFERROR(S221*T221,"")</f>
        <v/>
      </c>
    </row>
    <row r="222">
      <c r="T222" s="9">
        <f>IFERROR(VLOOKUP(M222,Lists!$A$1:$B$8,2,FALSE),"")</f>
        <v/>
      </c>
      <c r="U222" s="6">
        <f>IFERROR(S222*T222,"")</f>
        <v/>
      </c>
    </row>
    <row r="223">
      <c r="T223" s="9">
        <f>IFERROR(VLOOKUP(M223,Lists!$A$1:$B$8,2,FALSE),"")</f>
        <v/>
      </c>
      <c r="U223" s="6">
        <f>IFERROR(S223*T223,"")</f>
        <v/>
      </c>
    </row>
    <row r="224">
      <c r="T224" s="9">
        <f>IFERROR(VLOOKUP(M224,Lists!$A$1:$B$8,2,FALSE),"")</f>
        <v/>
      </c>
      <c r="U224" s="6">
        <f>IFERROR(S224*T224,"")</f>
        <v/>
      </c>
    </row>
    <row r="225">
      <c r="T225" s="9">
        <f>IFERROR(VLOOKUP(M225,Lists!$A$1:$B$8,2,FALSE),"")</f>
        <v/>
      </c>
      <c r="U225" s="6">
        <f>IFERROR(S225*T225,"")</f>
        <v/>
      </c>
    </row>
    <row r="226">
      <c r="T226" s="9">
        <f>IFERROR(VLOOKUP(M226,Lists!$A$1:$B$8,2,FALSE),"")</f>
        <v/>
      </c>
      <c r="U226" s="6">
        <f>IFERROR(S226*T226,"")</f>
        <v/>
      </c>
    </row>
    <row r="227">
      <c r="T227" s="9">
        <f>IFERROR(VLOOKUP(M227,Lists!$A$1:$B$8,2,FALSE),"")</f>
        <v/>
      </c>
      <c r="U227" s="6">
        <f>IFERROR(S227*T227,"")</f>
        <v/>
      </c>
    </row>
    <row r="228">
      <c r="T228" s="9">
        <f>IFERROR(VLOOKUP(M228,Lists!$A$1:$B$8,2,FALSE),"")</f>
        <v/>
      </c>
      <c r="U228" s="6">
        <f>IFERROR(S228*T228,"")</f>
        <v/>
      </c>
    </row>
    <row r="229">
      <c r="T229" s="9">
        <f>IFERROR(VLOOKUP(M229,Lists!$A$1:$B$8,2,FALSE),"")</f>
        <v/>
      </c>
      <c r="U229" s="6">
        <f>IFERROR(S229*T229,"")</f>
        <v/>
      </c>
    </row>
    <row r="230">
      <c r="T230" s="9">
        <f>IFERROR(VLOOKUP(M230,Lists!$A$1:$B$8,2,FALSE),"")</f>
        <v/>
      </c>
      <c r="U230" s="6">
        <f>IFERROR(S230*T230,"")</f>
        <v/>
      </c>
    </row>
    <row r="231">
      <c r="T231" s="9">
        <f>IFERROR(VLOOKUP(M231,Lists!$A$1:$B$8,2,FALSE),"")</f>
        <v/>
      </c>
      <c r="U231" s="6">
        <f>IFERROR(S231*T231,"")</f>
        <v/>
      </c>
    </row>
    <row r="232">
      <c r="T232" s="9">
        <f>IFERROR(VLOOKUP(M232,Lists!$A$1:$B$8,2,FALSE),"")</f>
        <v/>
      </c>
      <c r="U232" s="6">
        <f>IFERROR(S232*T232,"")</f>
        <v/>
      </c>
    </row>
    <row r="233">
      <c r="T233" s="9">
        <f>IFERROR(VLOOKUP(M233,Lists!$A$1:$B$8,2,FALSE),"")</f>
        <v/>
      </c>
      <c r="U233" s="6">
        <f>IFERROR(S233*T233,"")</f>
        <v/>
      </c>
    </row>
    <row r="234">
      <c r="T234" s="9">
        <f>IFERROR(VLOOKUP(M234,Lists!$A$1:$B$8,2,FALSE),"")</f>
        <v/>
      </c>
      <c r="U234" s="6">
        <f>IFERROR(S234*T234,"")</f>
        <v/>
      </c>
    </row>
    <row r="235">
      <c r="T235" s="9">
        <f>IFERROR(VLOOKUP(M235,Lists!$A$1:$B$8,2,FALSE),"")</f>
        <v/>
      </c>
      <c r="U235" s="6">
        <f>IFERROR(S235*T235,"")</f>
        <v/>
      </c>
    </row>
    <row r="236">
      <c r="T236" s="9">
        <f>IFERROR(VLOOKUP(M236,Lists!$A$1:$B$8,2,FALSE),"")</f>
        <v/>
      </c>
      <c r="U236" s="6">
        <f>IFERROR(S236*T236,"")</f>
        <v/>
      </c>
    </row>
    <row r="237">
      <c r="T237" s="9">
        <f>IFERROR(VLOOKUP(M237,Lists!$A$1:$B$8,2,FALSE),"")</f>
        <v/>
      </c>
      <c r="U237" s="6">
        <f>IFERROR(S237*T237,"")</f>
        <v/>
      </c>
    </row>
    <row r="238">
      <c r="T238" s="9">
        <f>IFERROR(VLOOKUP(M238,Lists!$A$1:$B$8,2,FALSE),"")</f>
        <v/>
      </c>
      <c r="U238" s="6">
        <f>IFERROR(S238*T238,"")</f>
        <v/>
      </c>
    </row>
    <row r="239">
      <c r="T239" s="9">
        <f>IFERROR(VLOOKUP(M239,Lists!$A$1:$B$8,2,FALSE),"")</f>
        <v/>
      </c>
      <c r="U239" s="6">
        <f>IFERROR(S239*T239,"")</f>
        <v/>
      </c>
    </row>
    <row r="240">
      <c r="T240" s="9">
        <f>IFERROR(VLOOKUP(M240,Lists!$A$1:$B$8,2,FALSE),"")</f>
        <v/>
      </c>
      <c r="U240" s="6">
        <f>IFERROR(S240*T240,"")</f>
        <v/>
      </c>
    </row>
    <row r="241">
      <c r="T241" s="9">
        <f>IFERROR(VLOOKUP(M241,Lists!$A$1:$B$8,2,FALSE),"")</f>
        <v/>
      </c>
      <c r="U241" s="6">
        <f>IFERROR(S241*T241,"")</f>
        <v/>
      </c>
    </row>
    <row r="242">
      <c r="T242" s="9">
        <f>IFERROR(VLOOKUP(M242,Lists!$A$1:$B$8,2,FALSE),"")</f>
        <v/>
      </c>
      <c r="U242" s="6">
        <f>IFERROR(S242*T242,"")</f>
        <v/>
      </c>
    </row>
    <row r="243">
      <c r="T243" s="9">
        <f>IFERROR(VLOOKUP(M243,Lists!$A$1:$B$8,2,FALSE),"")</f>
        <v/>
      </c>
      <c r="U243" s="6">
        <f>IFERROR(S243*T243,"")</f>
        <v/>
      </c>
    </row>
    <row r="244">
      <c r="T244" s="9">
        <f>IFERROR(VLOOKUP(M244,Lists!$A$1:$B$8,2,FALSE),"")</f>
        <v/>
      </c>
      <c r="U244" s="6">
        <f>IFERROR(S244*T244,"")</f>
        <v/>
      </c>
    </row>
    <row r="245">
      <c r="T245" s="9">
        <f>IFERROR(VLOOKUP(M245,Lists!$A$1:$B$8,2,FALSE),"")</f>
        <v/>
      </c>
      <c r="U245" s="6">
        <f>IFERROR(S245*T245,"")</f>
        <v/>
      </c>
    </row>
    <row r="246">
      <c r="T246" s="9">
        <f>IFERROR(VLOOKUP(M246,Lists!$A$1:$B$8,2,FALSE),"")</f>
        <v/>
      </c>
      <c r="U246" s="6">
        <f>IFERROR(S246*T246,"")</f>
        <v/>
      </c>
    </row>
    <row r="247">
      <c r="T247" s="9">
        <f>IFERROR(VLOOKUP(M247,Lists!$A$1:$B$8,2,FALSE),"")</f>
        <v/>
      </c>
      <c r="U247" s="6">
        <f>IFERROR(S247*T247,"")</f>
        <v/>
      </c>
    </row>
    <row r="248">
      <c r="T248" s="9">
        <f>IFERROR(VLOOKUP(M248,Lists!$A$1:$B$8,2,FALSE),"")</f>
        <v/>
      </c>
      <c r="U248" s="6">
        <f>IFERROR(S248*T248,"")</f>
        <v/>
      </c>
    </row>
    <row r="249">
      <c r="T249" s="9">
        <f>IFERROR(VLOOKUP(M249,Lists!$A$1:$B$8,2,FALSE),"")</f>
        <v/>
      </c>
      <c r="U249" s="6">
        <f>IFERROR(S249*T249,"")</f>
        <v/>
      </c>
    </row>
    <row r="250">
      <c r="T250" s="9">
        <f>IFERROR(VLOOKUP(M250,Lists!$A$1:$B$8,2,FALSE),"")</f>
        <v/>
      </c>
      <c r="U250" s="6">
        <f>IFERROR(S250*T250,"")</f>
        <v/>
      </c>
    </row>
    <row r="251">
      <c r="T251" s="9">
        <f>IFERROR(VLOOKUP(M251,Lists!$A$1:$B$8,2,FALSE),"")</f>
        <v/>
      </c>
      <c r="U251" s="6">
        <f>IFERROR(S251*T251,"")</f>
        <v/>
      </c>
    </row>
    <row r="252">
      <c r="T252" s="9">
        <f>IFERROR(VLOOKUP(M252,Lists!$A$1:$B$8,2,FALSE),"")</f>
        <v/>
      </c>
      <c r="U252" s="6">
        <f>IFERROR(S252*T252,"")</f>
        <v/>
      </c>
    </row>
    <row r="253">
      <c r="T253" s="9">
        <f>IFERROR(VLOOKUP(M253,Lists!$A$1:$B$8,2,FALSE),"")</f>
        <v/>
      </c>
      <c r="U253" s="6">
        <f>IFERROR(S253*T253,"")</f>
        <v/>
      </c>
    </row>
    <row r="254">
      <c r="T254" s="9">
        <f>IFERROR(VLOOKUP(M254,Lists!$A$1:$B$8,2,FALSE),"")</f>
        <v/>
      </c>
      <c r="U254" s="6">
        <f>IFERROR(S254*T254,"")</f>
        <v/>
      </c>
    </row>
    <row r="255">
      <c r="T255" s="9">
        <f>IFERROR(VLOOKUP(M255,Lists!$A$1:$B$8,2,FALSE),"")</f>
        <v/>
      </c>
      <c r="U255" s="6">
        <f>IFERROR(S255*T255,"")</f>
        <v/>
      </c>
    </row>
    <row r="256">
      <c r="T256" s="9">
        <f>IFERROR(VLOOKUP(M256,Lists!$A$1:$B$8,2,FALSE),"")</f>
        <v/>
      </c>
      <c r="U256" s="6">
        <f>IFERROR(S256*T256,"")</f>
        <v/>
      </c>
    </row>
    <row r="257">
      <c r="T257" s="9">
        <f>IFERROR(VLOOKUP(M257,Lists!$A$1:$B$8,2,FALSE),"")</f>
        <v/>
      </c>
      <c r="U257" s="6">
        <f>IFERROR(S257*T257,"")</f>
        <v/>
      </c>
    </row>
    <row r="258">
      <c r="T258" s="9">
        <f>IFERROR(VLOOKUP(M258,Lists!$A$1:$B$8,2,FALSE),"")</f>
        <v/>
      </c>
      <c r="U258" s="6">
        <f>IFERROR(S258*T258,"")</f>
        <v/>
      </c>
    </row>
    <row r="259">
      <c r="T259" s="9">
        <f>IFERROR(VLOOKUP(M259,Lists!$A$1:$B$8,2,FALSE),"")</f>
        <v/>
      </c>
      <c r="U259" s="6">
        <f>IFERROR(S259*T259,"")</f>
        <v/>
      </c>
    </row>
    <row r="260">
      <c r="T260" s="9">
        <f>IFERROR(VLOOKUP(M260,Lists!$A$1:$B$8,2,FALSE),"")</f>
        <v/>
      </c>
      <c r="U260" s="6">
        <f>IFERROR(S260*T260,"")</f>
        <v/>
      </c>
    </row>
    <row r="261">
      <c r="T261" s="9">
        <f>IFERROR(VLOOKUP(M261,Lists!$A$1:$B$8,2,FALSE),"")</f>
        <v/>
      </c>
      <c r="U261" s="6">
        <f>IFERROR(S261*T261,"")</f>
        <v/>
      </c>
    </row>
    <row r="262">
      <c r="T262" s="9">
        <f>IFERROR(VLOOKUP(M262,Lists!$A$1:$B$8,2,FALSE),"")</f>
        <v/>
      </c>
      <c r="U262" s="6">
        <f>IFERROR(S262*T262,"")</f>
        <v/>
      </c>
    </row>
    <row r="263">
      <c r="T263" s="9">
        <f>IFERROR(VLOOKUP(M263,Lists!$A$1:$B$8,2,FALSE),"")</f>
        <v/>
      </c>
      <c r="U263" s="6">
        <f>IFERROR(S263*T263,"")</f>
        <v/>
      </c>
    </row>
    <row r="264">
      <c r="T264" s="9">
        <f>IFERROR(VLOOKUP(M264,Lists!$A$1:$B$8,2,FALSE),"")</f>
        <v/>
      </c>
      <c r="U264" s="6">
        <f>IFERROR(S264*T264,"")</f>
        <v/>
      </c>
    </row>
    <row r="265">
      <c r="T265" s="9">
        <f>IFERROR(VLOOKUP(M265,Lists!$A$1:$B$8,2,FALSE),"")</f>
        <v/>
      </c>
      <c r="U265" s="6">
        <f>IFERROR(S265*T265,"")</f>
        <v/>
      </c>
    </row>
    <row r="266">
      <c r="T266" s="9">
        <f>IFERROR(VLOOKUP(M266,Lists!$A$1:$B$8,2,FALSE),"")</f>
        <v/>
      </c>
      <c r="U266" s="6">
        <f>IFERROR(S266*T266,"")</f>
        <v/>
      </c>
    </row>
    <row r="267">
      <c r="T267" s="9">
        <f>IFERROR(VLOOKUP(M267,Lists!$A$1:$B$8,2,FALSE),"")</f>
        <v/>
      </c>
      <c r="U267" s="6">
        <f>IFERROR(S267*T267,"")</f>
        <v/>
      </c>
    </row>
    <row r="268">
      <c r="T268" s="9">
        <f>IFERROR(VLOOKUP(M268,Lists!$A$1:$B$8,2,FALSE),"")</f>
        <v/>
      </c>
      <c r="U268" s="6">
        <f>IFERROR(S268*T268,"")</f>
        <v/>
      </c>
    </row>
    <row r="269">
      <c r="T269" s="9">
        <f>IFERROR(VLOOKUP(M269,Lists!$A$1:$B$8,2,FALSE),"")</f>
        <v/>
      </c>
      <c r="U269" s="6">
        <f>IFERROR(S269*T269,"")</f>
        <v/>
      </c>
    </row>
    <row r="270">
      <c r="T270" s="9">
        <f>IFERROR(VLOOKUP(M270,Lists!$A$1:$B$8,2,FALSE),"")</f>
        <v/>
      </c>
      <c r="U270" s="6">
        <f>IFERROR(S270*T270,"")</f>
        <v/>
      </c>
    </row>
    <row r="271">
      <c r="T271" s="9">
        <f>IFERROR(VLOOKUP(M271,Lists!$A$1:$B$8,2,FALSE),"")</f>
        <v/>
      </c>
      <c r="U271" s="6">
        <f>IFERROR(S271*T271,"")</f>
        <v/>
      </c>
    </row>
    <row r="272">
      <c r="T272" s="9">
        <f>IFERROR(VLOOKUP(M272,Lists!$A$1:$B$8,2,FALSE),"")</f>
        <v/>
      </c>
      <c r="U272" s="6">
        <f>IFERROR(S272*T272,"")</f>
        <v/>
      </c>
    </row>
    <row r="273">
      <c r="T273" s="9">
        <f>IFERROR(VLOOKUP(M273,Lists!$A$1:$B$8,2,FALSE),"")</f>
        <v/>
      </c>
      <c r="U273" s="6">
        <f>IFERROR(S273*T273,"")</f>
        <v/>
      </c>
    </row>
    <row r="274">
      <c r="T274" s="9">
        <f>IFERROR(VLOOKUP(M274,Lists!$A$1:$B$8,2,FALSE),"")</f>
        <v/>
      </c>
      <c r="U274" s="6">
        <f>IFERROR(S274*T274,"")</f>
        <v/>
      </c>
    </row>
    <row r="275">
      <c r="T275" s="9">
        <f>IFERROR(VLOOKUP(M275,Lists!$A$1:$B$8,2,FALSE),"")</f>
        <v/>
      </c>
      <c r="U275" s="6">
        <f>IFERROR(S275*T275,"")</f>
        <v/>
      </c>
    </row>
    <row r="276">
      <c r="T276" s="9">
        <f>IFERROR(VLOOKUP(M276,Lists!$A$1:$B$8,2,FALSE),"")</f>
        <v/>
      </c>
      <c r="U276" s="6">
        <f>IFERROR(S276*T276,"")</f>
        <v/>
      </c>
    </row>
    <row r="277">
      <c r="T277" s="9">
        <f>IFERROR(VLOOKUP(M277,Lists!$A$1:$B$8,2,FALSE),"")</f>
        <v/>
      </c>
      <c r="U277" s="6">
        <f>IFERROR(S277*T277,"")</f>
        <v/>
      </c>
    </row>
    <row r="278">
      <c r="T278" s="9">
        <f>IFERROR(VLOOKUP(M278,Lists!$A$1:$B$8,2,FALSE),"")</f>
        <v/>
      </c>
      <c r="U278" s="6">
        <f>IFERROR(S278*T278,"")</f>
        <v/>
      </c>
    </row>
    <row r="279">
      <c r="T279" s="9">
        <f>IFERROR(VLOOKUP(M279,Lists!$A$1:$B$8,2,FALSE),"")</f>
        <v/>
      </c>
      <c r="U279" s="6">
        <f>IFERROR(S279*T279,"")</f>
        <v/>
      </c>
    </row>
    <row r="280">
      <c r="T280" s="9">
        <f>IFERROR(VLOOKUP(M280,Lists!$A$1:$B$8,2,FALSE),"")</f>
        <v/>
      </c>
      <c r="U280" s="6">
        <f>IFERROR(S280*T280,"")</f>
        <v/>
      </c>
    </row>
    <row r="281">
      <c r="T281" s="9">
        <f>IFERROR(VLOOKUP(M281,Lists!$A$1:$B$8,2,FALSE),"")</f>
        <v/>
      </c>
      <c r="U281" s="6">
        <f>IFERROR(S281*T281,"")</f>
        <v/>
      </c>
    </row>
    <row r="282">
      <c r="T282" s="9">
        <f>IFERROR(VLOOKUP(M282,Lists!$A$1:$B$8,2,FALSE),"")</f>
        <v/>
      </c>
      <c r="U282" s="6">
        <f>IFERROR(S282*T282,"")</f>
        <v/>
      </c>
    </row>
    <row r="283">
      <c r="T283" s="9">
        <f>IFERROR(VLOOKUP(M283,Lists!$A$1:$B$8,2,FALSE),"")</f>
        <v/>
      </c>
      <c r="U283" s="6">
        <f>IFERROR(S283*T283,"")</f>
        <v/>
      </c>
    </row>
    <row r="284">
      <c r="T284" s="9">
        <f>IFERROR(VLOOKUP(M284,Lists!$A$1:$B$8,2,FALSE),"")</f>
        <v/>
      </c>
      <c r="U284" s="6">
        <f>IFERROR(S284*T284,"")</f>
        <v/>
      </c>
    </row>
    <row r="285">
      <c r="T285" s="9">
        <f>IFERROR(VLOOKUP(M285,Lists!$A$1:$B$8,2,FALSE),"")</f>
        <v/>
      </c>
      <c r="U285" s="6">
        <f>IFERROR(S285*T285,"")</f>
        <v/>
      </c>
    </row>
    <row r="286">
      <c r="T286" s="9">
        <f>IFERROR(VLOOKUP(M286,Lists!$A$1:$B$8,2,FALSE),"")</f>
        <v/>
      </c>
      <c r="U286" s="6">
        <f>IFERROR(S286*T286,"")</f>
        <v/>
      </c>
    </row>
    <row r="287">
      <c r="T287" s="9">
        <f>IFERROR(VLOOKUP(M287,Lists!$A$1:$B$8,2,FALSE),"")</f>
        <v/>
      </c>
      <c r="U287" s="6">
        <f>IFERROR(S287*T287,"")</f>
        <v/>
      </c>
    </row>
    <row r="288">
      <c r="T288" s="9">
        <f>IFERROR(VLOOKUP(M288,Lists!$A$1:$B$8,2,FALSE),"")</f>
        <v/>
      </c>
      <c r="U288" s="6">
        <f>IFERROR(S288*T288,"")</f>
        <v/>
      </c>
    </row>
    <row r="289">
      <c r="T289" s="9">
        <f>IFERROR(VLOOKUP(M289,Lists!$A$1:$B$8,2,FALSE),"")</f>
        <v/>
      </c>
      <c r="U289" s="6">
        <f>IFERROR(S289*T289,"")</f>
        <v/>
      </c>
    </row>
    <row r="290">
      <c r="T290" s="9">
        <f>IFERROR(VLOOKUP(M290,Lists!$A$1:$B$8,2,FALSE),"")</f>
        <v/>
      </c>
      <c r="U290" s="6">
        <f>IFERROR(S290*T290,"")</f>
        <v/>
      </c>
    </row>
    <row r="291">
      <c r="T291" s="9">
        <f>IFERROR(VLOOKUP(M291,Lists!$A$1:$B$8,2,FALSE),"")</f>
        <v/>
      </c>
      <c r="U291" s="6">
        <f>IFERROR(S291*T291,"")</f>
        <v/>
      </c>
    </row>
    <row r="292">
      <c r="T292" s="9">
        <f>IFERROR(VLOOKUP(M292,Lists!$A$1:$B$8,2,FALSE),"")</f>
        <v/>
      </c>
      <c r="U292" s="6">
        <f>IFERROR(S292*T292,"")</f>
        <v/>
      </c>
    </row>
    <row r="293">
      <c r="T293" s="9">
        <f>IFERROR(VLOOKUP(M293,Lists!$A$1:$B$8,2,FALSE),"")</f>
        <v/>
      </c>
      <c r="U293" s="6">
        <f>IFERROR(S293*T293,"")</f>
        <v/>
      </c>
    </row>
    <row r="294">
      <c r="T294" s="9">
        <f>IFERROR(VLOOKUP(M294,Lists!$A$1:$B$8,2,FALSE),"")</f>
        <v/>
      </c>
      <c r="U294" s="6">
        <f>IFERROR(S294*T294,"")</f>
        <v/>
      </c>
    </row>
    <row r="295">
      <c r="T295" s="9">
        <f>IFERROR(VLOOKUP(M295,Lists!$A$1:$B$8,2,FALSE),"")</f>
        <v/>
      </c>
      <c r="U295" s="6">
        <f>IFERROR(S295*T295,"")</f>
        <v/>
      </c>
    </row>
    <row r="296">
      <c r="T296" s="9">
        <f>IFERROR(VLOOKUP(M296,Lists!$A$1:$B$8,2,FALSE),"")</f>
        <v/>
      </c>
      <c r="U296" s="6">
        <f>IFERROR(S296*T296,"")</f>
        <v/>
      </c>
    </row>
    <row r="297">
      <c r="T297" s="9">
        <f>IFERROR(VLOOKUP(M297,Lists!$A$1:$B$8,2,FALSE),"")</f>
        <v/>
      </c>
      <c r="U297" s="6">
        <f>IFERROR(S297*T297,"")</f>
        <v/>
      </c>
    </row>
    <row r="298">
      <c r="T298" s="9">
        <f>IFERROR(VLOOKUP(M298,Lists!$A$1:$B$8,2,FALSE),"")</f>
        <v/>
      </c>
      <c r="U298" s="6">
        <f>IFERROR(S298*T298,"")</f>
        <v/>
      </c>
    </row>
    <row r="299">
      <c r="T299" s="9">
        <f>IFERROR(VLOOKUP(M299,Lists!$A$1:$B$8,2,FALSE),"")</f>
        <v/>
      </c>
      <c r="U299" s="6">
        <f>IFERROR(S299*T299,"")</f>
        <v/>
      </c>
    </row>
    <row r="300">
      <c r="T300" s="9">
        <f>IFERROR(VLOOKUP(M300,Lists!$A$1:$B$8,2,FALSE),"")</f>
        <v/>
      </c>
      <c r="U300" s="6">
        <f>IFERROR(S300*T300,"")</f>
        <v/>
      </c>
    </row>
  </sheetData>
  <dataValidations count="2">
    <dataValidation sqref="M2:M1000" showDropDown="0" showInputMessage="0" showErrorMessage="0" allowBlank="1" type="list">
      <formula1>"1-Identified,2-Contacted,3-Replied,4-Discovery booked,5-Diagnostic proposed,6-Won,7-Lost,8-Nurture"</formula1>
    </dataValidation>
    <dataValidation sqref="K2:K1000" showDropDown="0" showInputMessage="0" showErrorMessage="0" allowBlank="1" type="list">
      <formula1>"LinkedIn,Cold email,Upwork,Partner,Referral,Community,Inbound"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1-Identified</t>
        </is>
      </c>
      <c r="B1" t="n">
        <v>0.02</v>
      </c>
    </row>
    <row r="2">
      <c r="A2" t="inlineStr">
        <is>
          <t>2-Contacted</t>
        </is>
      </c>
      <c r="B2" t="n">
        <v>0.05</v>
      </c>
    </row>
    <row r="3">
      <c r="A3" t="inlineStr">
        <is>
          <t>3-Replied</t>
        </is>
      </c>
      <c r="B3" t="n">
        <v>0.15</v>
      </c>
    </row>
    <row r="4">
      <c r="A4" t="inlineStr">
        <is>
          <t>4-Discovery booked</t>
        </is>
      </c>
      <c r="B4" t="n">
        <v>0.3</v>
      </c>
    </row>
    <row r="5">
      <c r="A5" t="inlineStr">
        <is>
          <t>5-Diagnostic proposed</t>
        </is>
      </c>
      <c r="B5" t="n">
        <v>0.5</v>
      </c>
    </row>
    <row r="6">
      <c r="A6" t="inlineStr">
        <is>
          <t>6-Won</t>
        </is>
      </c>
      <c r="B6" t="n">
        <v>1</v>
      </c>
    </row>
    <row r="7">
      <c r="A7" t="inlineStr">
        <is>
          <t>7-Lost</t>
        </is>
      </c>
      <c r="B7" t="n">
        <v>0</v>
      </c>
    </row>
    <row r="8">
      <c r="A8" t="inlineStr">
        <is>
          <t>8-Nurture</t>
        </is>
      </c>
      <c r="B8" t="n">
        <v>0.03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4" customWidth="1" min="3" max="3"/>
    <col width="10" customWidth="1" min="4" max="4"/>
    <col width="10" customWidth="1" min="5" max="5"/>
    <col width="9" customWidth="1" min="6" max="6"/>
    <col width="10" customWidth="1" min="7" max="7"/>
    <col width="10" customWidth="1" min="8" max="8"/>
    <col width="7" customWidth="1" min="9" max="9"/>
    <col width="11" customWidth="1" min="10" max="10"/>
    <col width="10" customWidth="1" min="11" max="11"/>
    <col width="12" customWidth="1" min="12" max="12"/>
    <col width="40" customWidth="1" min="13" max="13"/>
  </cols>
  <sheetData>
    <row r="1">
      <c r="A1" s="1" t="inlineStr">
        <is>
          <t>Week</t>
        </is>
      </c>
      <c r="B1" s="1" t="inlineStr">
        <is>
          <t>Phase</t>
        </is>
      </c>
      <c r="C1" s="1" t="inlineStr">
        <is>
          <t>Outcome target</t>
        </is>
      </c>
      <c r="D1" s="1" t="inlineStr">
        <is>
          <t>Prospects added</t>
        </is>
      </c>
      <c r="E1" s="1" t="inlineStr">
        <is>
          <t>Touches sent</t>
        </is>
      </c>
      <c r="F1" s="1" t="inlineStr">
        <is>
          <t>Replies</t>
        </is>
      </c>
      <c r="G1" s="1" t="inlineStr">
        <is>
          <t>Discovery calls</t>
        </is>
      </c>
      <c r="H1" s="1" t="inlineStr">
        <is>
          <t>Proposals</t>
        </is>
      </c>
      <c r="I1" s="1" t="inlineStr">
        <is>
          <t>Wins</t>
        </is>
      </c>
      <c r="J1" s="1" t="inlineStr">
        <is>
          <t>Revenue USD</t>
        </is>
      </c>
      <c r="K1" s="1" t="inlineStr">
        <is>
          <t>Hours spent</t>
        </is>
      </c>
      <c r="L1" s="1" t="inlineStr">
        <is>
          <t>Status</t>
        </is>
      </c>
      <c r="M1" s="1" t="inlineStr">
        <is>
          <t>Blocker / learning</t>
        </is>
      </c>
    </row>
    <row r="2">
      <c r="A2" t="n">
        <v>1</v>
      </c>
      <c r="B2" t="inlineStr">
        <is>
          <t>Foundation</t>
        </is>
      </c>
      <c r="C2" t="inlineStr">
        <is>
          <t>Offer, demo, site, payments live; 50-lead list</t>
        </is>
      </c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t="n">
        <v>2</v>
      </c>
      <c r="B3" t="inlineStr">
        <is>
          <t>Acquisition system</t>
        </is>
      </c>
      <c r="C3" t="inlineStr">
        <is>
          <t>100 touches; 3 Upwork proposals/day</t>
        </is>
      </c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t="n">
        <v>3</v>
      </c>
      <c r="B4" t="inlineStr">
        <is>
          <t>Acquisition system</t>
        </is>
      </c>
      <c r="C4" t="inlineStr">
        <is>
          <t>150 touches; 2 discovery calls</t>
        </is>
      </c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t="n">
        <v>4</v>
      </c>
      <c r="B5" t="inlineStr">
        <is>
          <t>Acquisition system</t>
        </is>
      </c>
      <c r="C5" t="inlineStr">
        <is>
          <t>150 touches; first proposal</t>
        </is>
      </c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t="n">
        <v>5</v>
      </c>
      <c r="B6" t="inlineStr">
        <is>
          <t>First customers</t>
        </is>
      </c>
      <c r="C6" t="inlineStr">
        <is>
          <t>First paid diagnostic</t>
        </is>
      </c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t="n">
        <v>6</v>
      </c>
      <c r="B7" t="inlineStr">
        <is>
          <t>First customers</t>
        </is>
      </c>
      <c r="C7" t="inlineStr">
        <is>
          <t>Deliver + testimonial</t>
        </is>
      </c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t="n">
        <v>7</v>
      </c>
      <c r="B8" t="inlineStr">
        <is>
          <t>First customers</t>
        </is>
      </c>
      <c r="C8" t="inlineStr">
        <is>
          <t>Case study #1 published</t>
        </is>
      </c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t="n">
        <v>8</v>
      </c>
      <c r="B9" t="inlineStr">
        <is>
          <t>First customers</t>
        </is>
      </c>
      <c r="C9" t="inlineStr">
        <is>
          <t>2nd/3rd client; raise price 20%</t>
        </is>
      </c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t="n">
        <v>9</v>
      </c>
      <c r="B10" t="inlineStr">
        <is>
          <t>First customers</t>
        </is>
      </c>
      <c r="C10" t="inlineStr">
        <is>
          <t>First retainer signed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t="n">
        <v>10</v>
      </c>
      <c r="B11" t="inlineStr">
        <is>
          <t>Scale &amp; productize</t>
        </is>
      </c>
      <c r="C11" t="inlineStr">
        <is>
          <t>SOPs v1 + contractor trial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t="n">
        <v>11</v>
      </c>
      <c r="B12" t="inlineStr">
        <is>
          <t>Scale &amp; productize</t>
        </is>
      </c>
      <c r="C12" t="inlineStr">
        <is>
          <t>Partner channel: 2 ERP partners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t="n">
        <v>12</v>
      </c>
      <c r="B13" t="inlineStr">
        <is>
          <t>Scale &amp; productize</t>
        </is>
      </c>
      <c r="C13" t="inlineStr">
        <is>
          <t>Retainer #2; automation of weekly pack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t="n">
        <v>13</v>
      </c>
      <c r="B14" t="inlineStr">
        <is>
          <t>Scale &amp; productize</t>
        </is>
      </c>
      <c r="C14" t="inlineStr">
        <is>
          <t>Review: kill / double-down decision</t>
        </is>
      </c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7" t="inlineStr">
        <is>
          <t>Total</t>
        </is>
      </c>
      <c r="D15">
        <f>SUM(D2:D14)</f>
        <v/>
      </c>
      <c r="E15">
        <f>SUM(E2:E14)</f>
        <v/>
      </c>
      <c r="F15">
        <f>SUM(F2:F14)</f>
        <v/>
      </c>
      <c r="G15">
        <f>SUM(G2:G14)</f>
        <v/>
      </c>
      <c r="H15">
        <f>SUM(H2:H14)</f>
        <v/>
      </c>
      <c r="I15">
        <f>SUM(I2:I14)</f>
        <v/>
      </c>
      <c r="J15">
        <f>SUM(J2:J14)</f>
        <v/>
      </c>
      <c r="K15">
        <f>SUM(K2:K14)</f>
        <v/>
      </c>
    </row>
  </sheetData>
  <conditionalFormatting sqref="L2:L14">
    <cfRule type="cellIs" priority="1" operator="equal" dxfId="2">
      <formula>"Off track"</formula>
    </cfRule>
    <cfRule type="cellIs" priority="2" operator="equal" dxfId="0">
      <formula>"On track"</formula>
    </cfRule>
  </conditionalFormatting>
  <dataValidations count="1">
    <dataValidation sqref="L2:L14" showDropDown="0" showInputMessage="0" showErrorMessage="0" allowBlank="1" type="list">
      <formula1>"On track,At risk,Off track,Done"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2026-10-04T15:12:51Z</dcterms:created>
  <dcterms:modified xsi:type="dcterms:W3CDTF">2026-10-04T15:12:51Z</dcterms:modified>
</cp:coreProperties>
</file>